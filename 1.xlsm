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Олег\Desktop\"/>
    </mc:Choice>
  </mc:AlternateContent>
  <xr:revisionPtr revIDLastSave="0" documentId="8_{4CF40A27-965B-4DC1-8526-015FDF27206C}" xr6:coauthVersionLast="45" xr6:coauthVersionMax="45" xr10:uidLastSave="{00000000-0000-0000-0000-000000000000}"/>
  <bookViews>
    <workbookView xWindow="-108" yWindow="-108" windowWidth="23256" windowHeight="12600" activeTab="2" xr2:uid="{82948F11-3C60-4337-917F-0EFFF7BFEEA3}"/>
  </bookViews>
  <sheets>
    <sheet name="Лист1" sheetId="1" r:id="rId1"/>
    <sheet name="Лист2" sheetId="2" r:id="rId2"/>
    <sheet name="Лист3" sheetId="4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4" i="4" l="1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C25" i="2" l="1"/>
  <c r="AF22" i="4"/>
  <c r="AE24" i="4" s="1"/>
  <c r="C21" i="4"/>
  <c r="D21" i="4" s="1"/>
  <c r="E21" i="4" s="1"/>
  <c r="F21" i="4" s="1"/>
  <c r="G21" i="4" s="1"/>
  <c r="H21" i="4" s="1"/>
  <c r="I21" i="4" s="1"/>
  <c r="J21" i="4" s="1"/>
  <c r="K21" i="4" s="1"/>
  <c r="L21" i="4" s="1"/>
  <c r="M21" i="4" s="1"/>
  <c r="N21" i="4" s="1"/>
  <c r="O21" i="4" s="1"/>
  <c r="P21" i="4" s="1"/>
  <c r="Q21" i="4" s="1"/>
  <c r="R21" i="4" s="1"/>
  <c r="S21" i="4" s="1"/>
  <c r="T21" i="4" s="1"/>
  <c r="U21" i="4" s="1"/>
  <c r="V21" i="4" s="1"/>
  <c r="W21" i="4" s="1"/>
  <c r="X21" i="4" s="1"/>
  <c r="Y21" i="4" s="1"/>
  <c r="Z21" i="4" s="1"/>
  <c r="AA21" i="4" s="1"/>
  <c r="AB21" i="4" s="1"/>
  <c r="AC21" i="4" s="1"/>
  <c r="AD21" i="4" s="1"/>
  <c r="AE21" i="4" s="1"/>
  <c r="AF21" i="4" s="1"/>
  <c r="C6" i="4"/>
  <c r="C24" i="2"/>
  <c r="C7" i="4" l="1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B22" i="2"/>
  <c r="B25" i="2"/>
  <c r="AF22" i="2"/>
  <c r="C6" i="2"/>
  <c r="C21" i="2" s="1"/>
  <c r="D21" i="2" s="1"/>
  <c r="E21" i="2" s="1"/>
  <c r="F21" i="2" s="1"/>
  <c r="G21" i="2" s="1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C7" i="2" l="1"/>
  <c r="AF22" i="1"/>
  <c r="AE24" i="2" l="1"/>
  <c r="AA24" i="2"/>
  <c r="W24" i="2"/>
  <c r="S24" i="2"/>
  <c r="O24" i="2"/>
  <c r="K24" i="2"/>
  <c r="G24" i="2"/>
  <c r="AD24" i="2"/>
  <c r="Z24" i="2"/>
  <c r="V24" i="2"/>
  <c r="R24" i="2"/>
  <c r="N24" i="2"/>
  <c r="J24" i="2"/>
  <c r="F24" i="2"/>
  <c r="AC24" i="2"/>
  <c r="Y24" i="2"/>
  <c r="U24" i="2"/>
  <c r="Q24" i="2"/>
  <c r="M24" i="2"/>
  <c r="I24" i="2"/>
  <c r="E24" i="2"/>
  <c r="AB24" i="2"/>
  <c r="X24" i="2"/>
  <c r="T24" i="2"/>
  <c r="P24" i="2"/>
  <c r="L24" i="2"/>
  <c r="H24" i="2"/>
  <c r="D24" i="2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C7" i="1"/>
  <c r="B22" i="1"/>
  <c r="C24" i="1" s="1"/>
  <c r="D21" i="1"/>
  <c r="E21" i="1" s="1"/>
  <c r="F21" i="1" s="1"/>
  <c r="G21" i="1" s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C21" i="1"/>
  <c r="C6" i="1"/>
</calcChain>
</file>

<file path=xl/sharedStrings.xml><?xml version="1.0" encoding="utf-8"?>
<sst xmlns="http://schemas.openxmlformats.org/spreadsheetml/2006/main" count="38" uniqueCount="15">
  <si>
    <t>L</t>
  </si>
  <si>
    <t>dx</t>
  </si>
  <si>
    <t>dt</t>
  </si>
  <si>
    <t>t</t>
  </si>
  <si>
    <t>Cp</t>
  </si>
  <si>
    <t>ro</t>
  </si>
  <si>
    <t>lambda</t>
  </si>
  <si>
    <t>T</t>
  </si>
  <si>
    <t>T1</t>
  </si>
  <si>
    <t>T2</t>
  </si>
  <si>
    <t>T_iter</t>
  </si>
  <si>
    <t>q1</t>
  </si>
  <si>
    <t>q</t>
  </si>
  <si>
    <t>alpha</t>
  </si>
  <si>
    <t>е1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</si>
</sst>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1" fillId="0" borderId="1" xfId="0" applyFont="1" applyBorder="1"/>
    <xf numFmtId="0" fontId="1" fillId="0" borderId="2" xfId="0" applyFont="1" applyBorder="1"/>
    <xf numFmtId="0" fontId="0" fillId="0" borderId="0" xfId="0" applyBorder="1"/>
    <xf numFmtId="0" fontId="1" fillId="0" borderId="0" xfId="0" applyFont="1" applyBorder="1"/>
    <xf numFmtId="165" fontId="0" fillId="0" borderId="2" xfId="0" applyNumberFormat="1" applyBorder="1"/>
    <xf numFmtId="0" fontId="0" fillId="0" borderId="1" xfId="0" applyFill="1" applyBorder="1"/>
    <xf numFmtId="0" fontId="0" fillId="0" borderId="0" xfId="0" applyFill="1" applyBorder="1"/>
    <xf numFmtId="0" fontId="0" fillId="0" borderId="3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Лист1!$B$22:$AF$22</c:f>
              <c:numCache>
                <c:formatCode>General</c:formatCode>
                <c:ptCount val="31"/>
                <c:pt idx="0">
                  <c:v>400</c:v>
                </c:pt>
                <c:pt idx="1">
                  <c:v>375.74229092450395</c:v>
                </c:pt>
                <c:pt idx="2">
                  <c:v>351.83385161486149</c:v>
                </c:pt>
                <c:pt idx="3">
                  <c:v>327.92541230521897</c:v>
                </c:pt>
                <c:pt idx="4">
                  <c:v>305.04264937506861</c:v>
                </c:pt>
                <c:pt idx="5">
                  <c:v>282.15988644491824</c:v>
                </c:pt>
                <c:pt idx="6">
                  <c:v>260.91509618767316</c:v>
                </c:pt>
                <c:pt idx="7">
                  <c:v>239.6703059304281</c:v>
                </c:pt>
                <c:pt idx="8">
                  <c:v>220.57618251341776</c:v>
                </c:pt>
                <c:pt idx="9">
                  <c:v>201.48205909640745</c:v>
                </c:pt>
                <c:pt idx="10">
                  <c:v>184.92583109244762</c:v>
                </c:pt>
                <c:pt idx="11">
                  <c:v>168.36960308848779</c:v>
                </c:pt>
                <c:pt idx="12">
                  <c:v>154.59844291256536</c:v>
                </c:pt>
                <c:pt idx="13">
                  <c:v>140.82728273664293</c:v>
                </c:pt>
                <c:pt idx="14">
                  <c:v>129.94500684978058</c:v>
                </c:pt>
                <c:pt idx="15">
                  <c:v>119.06273096291822</c:v>
                </c:pt>
                <c:pt idx="16">
                  <c:v>111.03637151957724</c:v>
                </c:pt>
                <c:pt idx="17">
                  <c:v>103.01001207623626</c:v>
                </c:pt>
                <c:pt idx="18">
                  <c:v>97.683837822466757</c:v>
                </c:pt>
                <c:pt idx="19">
                  <c:v>92.357663568697248</c:v>
                </c:pt>
                <c:pt idx="20">
                  <c:v>89.471781593069494</c:v>
                </c:pt>
                <c:pt idx="21">
                  <c:v>86.585899617441754</c:v>
                </c:pt>
                <c:pt idx="22">
                  <c:v>85.796669001336141</c:v>
                </c:pt>
                <c:pt idx="23">
                  <c:v>85.007438385230529</c:v>
                </c:pt>
                <c:pt idx="24">
                  <c:v>85.907453092580027</c:v>
                </c:pt>
                <c:pt idx="25">
                  <c:v>86.807467799929555</c:v>
                </c:pt>
                <c:pt idx="26">
                  <c:v>88.943641610178915</c:v>
                </c:pt>
                <c:pt idx="27">
                  <c:v>91.079815420428275</c:v>
                </c:pt>
                <c:pt idx="28">
                  <c:v>93.968943192878612</c:v>
                </c:pt>
                <c:pt idx="29">
                  <c:v>96.858070965328935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08-4AD2-8A1D-E6BE11041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894124532463839"/>
          <c:y val="2.1085682140180868E-2"/>
          <c:w val="0.80357971335252709"/>
          <c:h val="0.7216995262333937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Лист2!$B$21:$AF$21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Лист2!$B$22:$AF$22</c:f>
              <c:numCache>
                <c:formatCode>General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78-453E-9042-62519E8C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0A-447F-B9F6-5B86524AC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894124532463839"/>
          <c:y val="2.1085682140180868E-2"/>
          <c:w val="0.80357971335252709"/>
          <c:h val="0.7216995262333937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Лист3!$B$21:$AF$21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Лист3!$B$22:$AF$22</c:f>
              <c:numCache>
                <c:formatCode>General</c:formatCode>
                <c:ptCount val="31"/>
                <c:pt idx="0">
                  <c:v>0</c:v>
                </c:pt>
                <c:pt idx="1">
                  <c:v>123.40425531914893</c:v>
                </c:pt>
                <c:pt idx="2">
                  <c:v>123.40425531914893</c:v>
                </c:pt>
                <c:pt idx="3">
                  <c:v>123.40425531914893</c:v>
                </c:pt>
                <c:pt idx="4">
                  <c:v>123.40425531914893</c:v>
                </c:pt>
                <c:pt idx="5">
                  <c:v>123.40425531914893</c:v>
                </c:pt>
                <c:pt idx="6">
                  <c:v>123.40425531914893</c:v>
                </c:pt>
                <c:pt idx="7">
                  <c:v>123.40425531914893</c:v>
                </c:pt>
                <c:pt idx="8">
                  <c:v>123.40425531914893</c:v>
                </c:pt>
                <c:pt idx="9">
                  <c:v>123.40425531914893</c:v>
                </c:pt>
                <c:pt idx="10">
                  <c:v>123.40425531914893</c:v>
                </c:pt>
                <c:pt idx="11">
                  <c:v>123.40425531914893</c:v>
                </c:pt>
                <c:pt idx="12">
                  <c:v>123.40425531914893</c:v>
                </c:pt>
                <c:pt idx="13">
                  <c:v>123.40425531914893</c:v>
                </c:pt>
                <c:pt idx="14">
                  <c:v>123.40425531914893</c:v>
                </c:pt>
                <c:pt idx="15">
                  <c:v>123.40425531914893</c:v>
                </c:pt>
                <c:pt idx="16">
                  <c:v>123.40425531914893</c:v>
                </c:pt>
                <c:pt idx="17">
                  <c:v>123.40425531914893</c:v>
                </c:pt>
                <c:pt idx="18">
                  <c:v>123.40425531914893</c:v>
                </c:pt>
                <c:pt idx="19">
                  <c:v>123.40425531914893</c:v>
                </c:pt>
                <c:pt idx="20">
                  <c:v>123.40425531914893</c:v>
                </c:pt>
                <c:pt idx="21">
                  <c:v>123.40425531914893</c:v>
                </c:pt>
                <c:pt idx="22">
                  <c:v>123.40425531914904</c:v>
                </c:pt>
                <c:pt idx="23">
                  <c:v>123.40425531915737</c:v>
                </c:pt>
                <c:pt idx="24">
                  <c:v>123.40425531981718</c:v>
                </c:pt>
                <c:pt idx="25">
                  <c:v>123.4042553721623</c:v>
                </c:pt>
                <c:pt idx="26">
                  <c:v>123.40425952487608</c:v>
                </c:pt>
                <c:pt idx="27">
                  <c:v>123.40458897350338</c:v>
                </c:pt>
                <c:pt idx="28">
                  <c:v>123.43072523126898</c:v>
                </c:pt>
                <c:pt idx="29">
                  <c:v>125.50420168067227</c:v>
                </c:pt>
                <c:pt idx="30">
                  <c:v>290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4C-423C-8110-5503E4B15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2646EA6A-B16F-401C-B224-916F7853EA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08145E1-6676-4374-BA7E-A4CCDFB566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2BEB678-247F-4840-A410-19BD9A074A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196A115B-96DF-432A-9DC3-561FFBC70C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05C9D-EA62-43BF-8B44-9F135B57EF0A}">
  <sheetPr codeName="Лист1"/>
  <dimension ref="A5:AF24"/>
  <sheetViews>
    <sheetView zoomScale="71" zoomScaleNormal="71" workbookViewId="0">
      <selection sqref="A1:AG26"/>
    </sheetView>
  </sheetViews>
  <sheetFormatPr defaultRowHeight="14.4" x14ac:dyDescent="0.3"/>
  <cols>
    <col min="2" max="2" width="7.77734375" bestFit="1" customWidth="1"/>
    <col min="3" max="3" width="8.6640625" bestFit="1" customWidth="1"/>
    <col min="4" max="32" width="7.77734375" bestFit="1" customWidth="1"/>
  </cols>
  <sheetData>
    <row r="5" spans="1:4" x14ac:dyDescent="0.3">
      <c r="B5" s="3" t="s">
        <v>0</v>
      </c>
      <c r="C5" s="1">
        <v>0.1</v>
      </c>
    </row>
    <row r="6" spans="1:4" x14ac:dyDescent="0.3">
      <c r="B6" s="4" t="s">
        <v>1</v>
      </c>
      <c r="C6" s="7">
        <f>C5/30</f>
        <v>3.3333333333333335E-3</v>
      </c>
    </row>
    <row r="7" spans="1:4" x14ac:dyDescent="0.3">
      <c r="B7" s="3" t="s">
        <v>2</v>
      </c>
      <c r="C7" s="1">
        <f>(C10*C11*C6^2)/(2*C12)</f>
        <v>0.4333333333333334</v>
      </c>
    </row>
    <row r="8" spans="1:4" x14ac:dyDescent="0.3">
      <c r="B8" s="3" t="s">
        <v>3</v>
      </c>
      <c r="C8" s="1">
        <v>70</v>
      </c>
      <c r="D8">
        <v>70.200000000000017</v>
      </c>
    </row>
    <row r="9" spans="1:4" x14ac:dyDescent="0.3">
      <c r="A9" s="5"/>
      <c r="B9" s="6"/>
      <c r="C9" s="5"/>
      <c r="D9" s="5"/>
    </row>
    <row r="10" spans="1:4" x14ac:dyDescent="0.3">
      <c r="B10" s="3" t="s">
        <v>4</v>
      </c>
      <c r="C10" s="1">
        <v>460</v>
      </c>
    </row>
    <row r="11" spans="1:4" x14ac:dyDescent="0.3">
      <c r="B11" s="3" t="s">
        <v>5</v>
      </c>
      <c r="C11" s="1">
        <v>7800</v>
      </c>
    </row>
    <row r="12" spans="1:4" x14ac:dyDescent="0.3">
      <c r="B12" s="3" t="s">
        <v>6</v>
      </c>
      <c r="C12" s="1">
        <v>46</v>
      </c>
    </row>
    <row r="13" spans="1:4" x14ac:dyDescent="0.3">
      <c r="B13" s="1" t="s">
        <v>8</v>
      </c>
      <c r="C13" s="1">
        <v>400</v>
      </c>
    </row>
    <row r="14" spans="1:4" x14ac:dyDescent="0.3">
      <c r="B14" s="1" t="s">
        <v>9</v>
      </c>
      <c r="C14" s="1">
        <v>100</v>
      </c>
    </row>
    <row r="15" spans="1:4" x14ac:dyDescent="0.3">
      <c r="B15" s="1"/>
      <c r="C15" s="1"/>
    </row>
    <row r="20" spans="1:32" x14ac:dyDescent="0.3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3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 x14ac:dyDescent="0.3">
      <c r="A22" s="1" t="s">
        <v>7</v>
      </c>
      <c r="B22" s="8">
        <f>C13</f>
        <v>400</v>
      </c>
      <c r="C22" s="8">
        <v>375.74229092450395</v>
      </c>
      <c r="D22" s="8">
        <v>351.83385161486149</v>
      </c>
      <c r="E22" s="8">
        <v>327.92541230521897</v>
      </c>
      <c r="F22" s="8">
        <v>305.04264937506861</v>
      </c>
      <c r="G22" s="8">
        <v>282.15988644491824</v>
      </c>
      <c r="H22" s="8">
        <v>260.91509618767316</v>
      </c>
      <c r="I22" s="8">
        <v>239.6703059304281</v>
      </c>
      <c r="J22" s="8">
        <v>220.57618251341776</v>
      </c>
      <c r="K22" s="8">
        <v>201.48205909640745</v>
      </c>
      <c r="L22" s="8">
        <v>184.92583109244762</v>
      </c>
      <c r="M22" s="8">
        <v>168.36960308848779</v>
      </c>
      <c r="N22" s="8">
        <v>154.59844291256536</v>
      </c>
      <c r="O22" s="8">
        <v>140.82728273664293</v>
      </c>
      <c r="P22" s="8">
        <v>129.94500684978058</v>
      </c>
      <c r="Q22" s="8">
        <v>119.06273096291822</v>
      </c>
      <c r="R22" s="8">
        <v>111.03637151957724</v>
      </c>
      <c r="S22" s="8">
        <v>103.01001207623626</v>
      </c>
      <c r="T22" s="8">
        <v>97.683837822466757</v>
      </c>
      <c r="U22" s="8">
        <v>92.357663568697248</v>
      </c>
      <c r="V22" s="8">
        <v>89.471781593069494</v>
      </c>
      <c r="W22" s="8">
        <v>86.585899617441754</v>
      </c>
      <c r="X22" s="8">
        <v>85.796669001336141</v>
      </c>
      <c r="Y22" s="8">
        <v>85.007438385230529</v>
      </c>
      <c r="Z22" s="8">
        <v>85.907453092580027</v>
      </c>
      <c r="AA22" s="8">
        <v>86.807467799929555</v>
      </c>
      <c r="AB22" s="8">
        <v>88.943641610178915</v>
      </c>
      <c r="AC22" s="8">
        <v>91.079815420428275</v>
      </c>
      <c r="AD22" s="8">
        <v>93.968943192878612</v>
      </c>
      <c r="AE22" s="8">
        <v>96.858070965328935</v>
      </c>
      <c r="AF22" s="8">
        <f>C14</f>
        <v>100</v>
      </c>
    </row>
    <row r="24" spans="1:32" x14ac:dyDescent="0.3">
      <c r="A24" s="5" t="s">
        <v>10</v>
      </c>
      <c r="B24" s="5"/>
      <c r="C24" s="5">
        <f>C22+($C12*$C7)/($C10*$C11)*((D22-2*C22+B22)/$C6^2)</f>
        <v>375.91692580743074</v>
      </c>
      <c r="D24" s="5">
        <f t="shared" ref="D24:AE24" si="1">D22+($C12*$C7)/($C10*$C11)*((E22-2*D22+C22)/$C6^2)</f>
        <v>351.83385161486149</v>
      </c>
      <c r="E24" s="5">
        <f t="shared" si="1"/>
        <v>328.43825049496502</v>
      </c>
      <c r="F24" s="5">
        <f t="shared" si="1"/>
        <v>305.04264937506861</v>
      </c>
      <c r="G24" s="5">
        <f t="shared" si="1"/>
        <v>282.97887278137091</v>
      </c>
      <c r="H24" s="5">
        <f t="shared" si="1"/>
        <v>260.91509618767316</v>
      </c>
      <c r="I24" s="5">
        <f t="shared" si="1"/>
        <v>240.74563935054547</v>
      </c>
      <c r="J24" s="5">
        <f t="shared" si="1"/>
        <v>220.57618251341779</v>
      </c>
      <c r="K24" s="5">
        <f t="shared" si="1"/>
        <v>202.75100680293269</v>
      </c>
      <c r="L24" s="5">
        <f t="shared" si="1"/>
        <v>184.92583109244762</v>
      </c>
      <c r="M24" s="5">
        <f t="shared" si="1"/>
        <v>169.76213700250651</v>
      </c>
      <c r="N24" s="5">
        <f t="shared" si="1"/>
        <v>154.59844291256536</v>
      </c>
      <c r="O24" s="5">
        <f t="shared" si="1"/>
        <v>142.27172488117299</v>
      </c>
      <c r="P24" s="5">
        <f t="shared" si="1"/>
        <v>129.94500684978058</v>
      </c>
      <c r="Q24" s="5">
        <f t="shared" si="1"/>
        <v>120.49068918467891</v>
      </c>
      <c r="R24" s="5">
        <f t="shared" si="1"/>
        <v>111.03637151957724</v>
      </c>
      <c r="S24" s="5">
        <f t="shared" si="1"/>
        <v>104.360104671022</v>
      </c>
      <c r="T24" s="5">
        <f t="shared" si="1"/>
        <v>97.683837822466757</v>
      </c>
      <c r="U24" s="5">
        <f t="shared" si="1"/>
        <v>93.577809707768125</v>
      </c>
      <c r="V24" s="5">
        <f t="shared" si="1"/>
        <v>89.471781593069494</v>
      </c>
      <c r="W24" s="5">
        <f t="shared" si="1"/>
        <v>87.634225297202818</v>
      </c>
      <c r="X24" s="5">
        <f t="shared" si="1"/>
        <v>85.796669001336141</v>
      </c>
      <c r="Y24" s="5">
        <f t="shared" si="1"/>
        <v>85.852061046958084</v>
      </c>
      <c r="Z24" s="5">
        <f t="shared" si="1"/>
        <v>85.907453092580042</v>
      </c>
      <c r="AA24" s="5">
        <f t="shared" si="1"/>
        <v>87.425547351379464</v>
      </c>
      <c r="AB24" s="5">
        <f t="shared" si="1"/>
        <v>88.943641610178915</v>
      </c>
      <c r="AC24" s="5">
        <f t="shared" si="1"/>
        <v>91.456292401528771</v>
      </c>
      <c r="AD24" s="5">
        <f t="shared" si="1"/>
        <v>93.968943192878612</v>
      </c>
      <c r="AE24" s="5">
        <f t="shared" si="1"/>
        <v>96.984471596439306</v>
      </c>
      <c r="AF24" s="5"/>
    </row>
  </sheetData>
  <conditionalFormatting sqref="B22:AF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FF0E3-0D64-4705-9A6A-C77E89809944}">
  <dimension ref="A5:AF25"/>
  <sheetViews>
    <sheetView workbookViewId="0">
      <selection activeCell="C25" sqref="C25"/>
    </sheetView>
  </sheetViews>
  <sheetFormatPr defaultRowHeight="14.4" x14ac:dyDescent="0.3"/>
  <cols>
    <col min="2" max="2" width="7.77734375" bestFit="1" customWidth="1"/>
    <col min="3" max="3" width="8.6640625" bestFit="1" customWidth="1"/>
    <col min="4" max="32" width="7.77734375" bestFit="1" customWidth="1"/>
  </cols>
  <sheetData>
    <row r="5" spans="1:4" x14ac:dyDescent="0.3">
      <c r="B5" s="3" t="s">
        <v>0</v>
      </c>
      <c r="C5" s="1">
        <v>0.1</v>
      </c>
    </row>
    <row r="6" spans="1:4" x14ac:dyDescent="0.3">
      <c r="B6" s="4" t="s">
        <v>1</v>
      </c>
      <c r="C6" s="7">
        <f>C5/30</f>
        <v>3.3333333333333335E-3</v>
      </c>
    </row>
    <row r="7" spans="1:4" x14ac:dyDescent="0.3">
      <c r="B7" s="3" t="s">
        <v>2</v>
      </c>
      <c r="C7" s="1">
        <f>(C10*C11*C6^2)/(2*C12)</f>
        <v>0.4333333333333334</v>
      </c>
    </row>
    <row r="8" spans="1:4" x14ac:dyDescent="0.3">
      <c r="B8" s="3" t="s">
        <v>3</v>
      </c>
      <c r="C8" s="1">
        <v>5000</v>
      </c>
      <c r="D8">
        <v>5000.2333333333345</v>
      </c>
    </row>
    <row r="9" spans="1:4" x14ac:dyDescent="0.3">
      <c r="A9" s="5"/>
      <c r="B9" s="6"/>
      <c r="C9" s="5"/>
      <c r="D9" s="5"/>
    </row>
    <row r="10" spans="1:4" x14ac:dyDescent="0.3">
      <c r="B10" s="3" t="s">
        <v>4</v>
      </c>
      <c r="C10" s="1">
        <v>460</v>
      </c>
    </row>
    <row r="11" spans="1:4" x14ac:dyDescent="0.3">
      <c r="B11" s="3" t="s">
        <v>5</v>
      </c>
      <c r="C11" s="1">
        <v>7800</v>
      </c>
    </row>
    <row r="12" spans="1:4" x14ac:dyDescent="0.3">
      <c r="B12" s="3" t="s">
        <v>6</v>
      </c>
      <c r="C12" s="1">
        <v>46</v>
      </c>
    </row>
    <row r="13" spans="1:4" x14ac:dyDescent="0.3">
      <c r="B13" s="1"/>
      <c r="C13" s="1"/>
    </row>
    <row r="14" spans="1:4" x14ac:dyDescent="0.3">
      <c r="B14" s="1" t="s">
        <v>9</v>
      </c>
      <c r="C14" s="1">
        <v>100</v>
      </c>
    </row>
    <row r="15" spans="1:4" x14ac:dyDescent="0.3">
      <c r="B15" s="1" t="s">
        <v>11</v>
      </c>
      <c r="C15" s="1">
        <v>92000</v>
      </c>
    </row>
    <row r="20" spans="1:32" x14ac:dyDescent="0.3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3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 x14ac:dyDescent="0.3">
      <c r="A22" s="1" t="s">
        <v>7</v>
      </c>
      <c r="B22" s="8">
        <f>(B25/C12)*C6+C22</f>
        <v>299.99997763108735</v>
      </c>
      <c r="C22" s="8">
        <v>293.33331096442066</v>
      </c>
      <c r="D22" s="8">
        <v>286.6666443611611</v>
      </c>
      <c r="E22" s="8">
        <v>279.99997782112894</v>
      </c>
      <c r="F22" s="8">
        <v>273.33331134396514</v>
      </c>
      <c r="G22" s="8">
        <v>266.66664492913264</v>
      </c>
      <c r="H22" s="8">
        <v>259.99997857591751</v>
      </c>
      <c r="I22" s="8">
        <v>253.3333122834313</v>
      </c>
      <c r="J22" s="8">
        <v>246.66664605061328</v>
      </c>
      <c r="K22" s="8">
        <v>239.99997987623377</v>
      </c>
      <c r="L22" s="8">
        <v>233.33331375889719</v>
      </c>
      <c r="M22" s="8">
        <v>226.66664769704656</v>
      </c>
      <c r="N22" s="8">
        <v>219.9999816889673</v>
      </c>
      <c r="O22" s="8">
        <v>213.33331573279273</v>
      </c>
      <c r="P22" s="8">
        <v>206.66664982650872</v>
      </c>
      <c r="Q22" s="8">
        <v>199.99998396796005</v>
      </c>
      <c r="R22" s="8">
        <v>193.33331815485587</v>
      </c>
      <c r="S22" s="8">
        <v>186.6666523847768</v>
      </c>
      <c r="T22" s="8">
        <v>179.99998665518126</v>
      </c>
      <c r="U22" s="8">
        <v>173.33332096341309</v>
      </c>
      <c r="V22" s="8">
        <v>166.66665530670878</v>
      </c>
      <c r="W22" s="8">
        <v>159.9999896822055</v>
      </c>
      <c r="X22" s="8">
        <v>153.33332408694912</v>
      </c>
      <c r="Y22" s="8">
        <v>146.66665851790265</v>
      </c>
      <c r="Z22" s="8">
        <v>139.99999297195473</v>
      </c>
      <c r="AA22" s="8">
        <v>133.33332744592857</v>
      </c>
      <c r="AB22" s="8">
        <v>126.66666193659087</v>
      </c>
      <c r="AC22" s="8">
        <v>119.99999644066111</v>
      </c>
      <c r="AD22" s="8">
        <v>113.3333309548207</v>
      </c>
      <c r="AE22" s="8">
        <v>106.66666547572241</v>
      </c>
      <c r="AF22" s="8">
        <f>C14</f>
        <v>100</v>
      </c>
    </row>
    <row r="24" spans="1:32" x14ac:dyDescent="0.3">
      <c r="A24" s="5" t="s">
        <v>10</v>
      </c>
      <c r="B24" s="5"/>
      <c r="C24" s="5">
        <f>C22+($C12*$C7)/($C10*$C11)*((D22-2*C22+B22)/$C6^2)</f>
        <v>293.33331099612423</v>
      </c>
      <c r="D24" s="5">
        <f t="shared" ref="D24:AE24" si="1">D22+($C12*$C7)/($C10*$C11)*((E22-2*D22+C22)/$C6^2)</f>
        <v>286.6666443927748</v>
      </c>
      <c r="E24" s="5">
        <f t="shared" si="1"/>
        <v>279.99997785256312</v>
      </c>
      <c r="F24" s="5">
        <f t="shared" si="1"/>
        <v>273.33331137513079</v>
      </c>
      <c r="G24" s="5">
        <f t="shared" si="1"/>
        <v>266.66664495994132</v>
      </c>
      <c r="H24" s="5">
        <f t="shared" si="1"/>
        <v>259.99997860628196</v>
      </c>
      <c r="I24" s="5">
        <f t="shared" si="1"/>
        <v>253.3333123132654</v>
      </c>
      <c r="J24" s="5">
        <f t="shared" si="1"/>
        <v>246.66664607983253</v>
      </c>
      <c r="K24" s="5">
        <f t="shared" si="1"/>
        <v>239.99997990475524</v>
      </c>
      <c r="L24" s="5">
        <f t="shared" si="1"/>
        <v>233.33331378664016</v>
      </c>
      <c r="M24" s="5">
        <f t="shared" si="1"/>
        <v>226.66664772393224</v>
      </c>
      <c r="N24" s="5">
        <f t="shared" si="1"/>
        <v>219.99998171491964</v>
      </c>
      <c r="O24" s="5">
        <f t="shared" si="1"/>
        <v>213.33331575773801</v>
      </c>
      <c r="P24" s="5">
        <f t="shared" si="1"/>
        <v>206.66664985037639</v>
      </c>
      <c r="Q24" s="5">
        <f t="shared" si="1"/>
        <v>199.9999839906823</v>
      </c>
      <c r="R24" s="5">
        <f t="shared" si="1"/>
        <v>193.33331817636844</v>
      </c>
      <c r="S24" s="5">
        <f t="shared" si="1"/>
        <v>186.66665240501857</v>
      </c>
      <c r="T24" s="5">
        <f t="shared" si="1"/>
        <v>179.99998667409494</v>
      </c>
      <c r="U24" s="5">
        <f t="shared" si="1"/>
        <v>173.33332098094502</v>
      </c>
      <c r="V24" s="5">
        <f t="shared" si="1"/>
        <v>166.66665532280928</v>
      </c>
      <c r="W24" s="5">
        <f t="shared" si="1"/>
        <v>159.99998969682895</v>
      </c>
      <c r="X24" s="5">
        <f t="shared" si="1"/>
        <v>153.33332410005409</v>
      </c>
      <c r="Y24" s="5">
        <f t="shared" si="1"/>
        <v>146.66665852945192</v>
      </c>
      <c r="Z24" s="5">
        <f t="shared" si="1"/>
        <v>139.99999298191563</v>
      </c>
      <c r="AA24" s="5">
        <f t="shared" si="1"/>
        <v>133.33332745427279</v>
      </c>
      <c r="AB24" s="5">
        <f t="shared" si="1"/>
        <v>126.66666194329484</v>
      </c>
      <c r="AC24" s="5">
        <f t="shared" si="1"/>
        <v>119.99999644570579</v>
      </c>
      <c r="AD24" s="5">
        <f t="shared" si="1"/>
        <v>113.33333095819177</v>
      </c>
      <c r="AE24" s="5">
        <f t="shared" si="1"/>
        <v>106.66666547741035</v>
      </c>
      <c r="AF24" s="5"/>
    </row>
    <row r="25" spans="1:32" x14ac:dyDescent="0.3">
      <c r="A25" s="9" t="s">
        <v>12</v>
      </c>
      <c r="B25">
        <f>C15</f>
        <v>92000</v>
      </c>
      <c r="C25">
        <f>-$C$12*((C22-B22)/$C$6)</f>
        <v>92000.000000000247</v>
      </c>
      <c r="D25">
        <f t="shared" ref="D25:AF25" si="2">-$C$12*((D22-C22)/$C$6)</f>
        <v>91999.999124981885</v>
      </c>
      <c r="E25">
        <f t="shared" si="2"/>
        <v>91999.998252443896</v>
      </c>
      <c r="F25">
        <f t="shared" si="2"/>
        <v>91999.997384860442</v>
      </c>
      <c r="G25">
        <f t="shared" si="2"/>
        <v>91999.996524688366</v>
      </c>
      <c r="H25">
        <f t="shared" si="2"/>
        <v>91999.995674368853</v>
      </c>
      <c r="I25">
        <f t="shared" si="2"/>
        <v>91999.994836309721</v>
      </c>
      <c r="J25">
        <f t="shared" si="2"/>
        <v>91999.994012888623</v>
      </c>
      <c r="K25">
        <f t="shared" si="2"/>
        <v>91999.993206437299</v>
      </c>
      <c r="L25">
        <f t="shared" si="2"/>
        <v>91999.992419244736</v>
      </c>
      <c r="M25">
        <f t="shared" si="2"/>
        <v>91999.991653538746</v>
      </c>
      <c r="N25">
        <f t="shared" si="2"/>
        <v>91999.990911493791</v>
      </c>
      <c r="O25">
        <f t="shared" si="2"/>
        <v>91999.990195209044</v>
      </c>
      <c r="P25">
        <f t="shared" si="2"/>
        <v>91999.989506719328</v>
      </c>
      <c r="Q25">
        <f t="shared" si="2"/>
        <v>91999.988847971617</v>
      </c>
      <c r="R25">
        <f t="shared" si="2"/>
        <v>91999.988220837593</v>
      </c>
      <c r="S25">
        <f t="shared" si="2"/>
        <v>91999.987627091265</v>
      </c>
      <c r="T25">
        <f t="shared" si="2"/>
        <v>91999.987068418384</v>
      </c>
      <c r="U25">
        <f t="shared" si="2"/>
        <v>91999.986546400789</v>
      </c>
      <c r="V25">
        <f t="shared" si="2"/>
        <v>91999.986062519471</v>
      </c>
      <c r="W25">
        <f t="shared" si="2"/>
        <v>91999.985618145278</v>
      </c>
      <c r="X25">
        <f t="shared" si="2"/>
        <v>91999.985214537985</v>
      </c>
      <c r="Y25">
        <f t="shared" si="2"/>
        <v>91999.984852841313</v>
      </c>
      <c r="Z25">
        <f t="shared" si="2"/>
        <v>91999.984534081304</v>
      </c>
      <c r="AA25">
        <f t="shared" si="2"/>
        <v>91999.984259160876</v>
      </c>
      <c r="AB25">
        <f t="shared" si="2"/>
        <v>91999.984028860315</v>
      </c>
      <c r="AC25">
        <f t="shared" si="2"/>
        <v>91999.98384383072</v>
      </c>
      <c r="AD25">
        <f t="shared" si="2"/>
        <v>91999.983704597675</v>
      </c>
      <c r="AE25">
        <f t="shared" si="2"/>
        <v>91999.983611556323</v>
      </c>
      <c r="AF25">
        <f t="shared" si="2"/>
        <v>91999.983564969269</v>
      </c>
    </row>
  </sheetData>
  <conditionalFormatting sqref="B22:AF22"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14B88-9FB3-4FF0-A465-4FD443FBF762}">
  <dimension ref="A5:AF25"/>
  <sheetViews>
    <sheetView tabSelected="1" workbookViewId="0">
      <selection activeCell="C22" sqref="C22"/>
    </sheetView>
  </sheetViews>
  <sheetFormatPr defaultRowHeight="14.4" x14ac:dyDescent="0.3"/>
  <cols>
    <col min="2" max="2" width="7.77734375" bestFit="1" customWidth="1"/>
    <col min="3" max="3" width="12.6640625" bestFit="1" customWidth="1"/>
    <col min="4" max="32" width="7.77734375" bestFit="1" customWidth="1"/>
  </cols>
  <sheetData>
    <row r="5" spans="1:4" x14ac:dyDescent="0.3">
      <c r="B5" s="3" t="s">
        <v>0</v>
      </c>
      <c r="C5" s="1">
        <v>0.1</v>
      </c>
    </row>
    <row r="6" spans="1:4" x14ac:dyDescent="0.3">
      <c r="B6" s="4" t="s">
        <v>1</v>
      </c>
      <c r="C6" s="7">
        <f>C5/30</f>
        <v>3.3333333333333335E-3</v>
      </c>
    </row>
    <row r="7" spans="1:4" x14ac:dyDescent="0.3">
      <c r="B7" s="3" t="s">
        <v>2</v>
      </c>
      <c r="C7" s="1">
        <f>(C10*C11*C6^2)/(2*C12)</f>
        <v>0.4333333333333334</v>
      </c>
    </row>
    <row r="8" spans="1:4" x14ac:dyDescent="0.3">
      <c r="B8" s="3" t="s">
        <v>3</v>
      </c>
      <c r="C8" s="1">
        <v>3000</v>
      </c>
      <c r="D8">
        <v>1013.1333333333336</v>
      </c>
    </row>
    <row r="9" spans="1:4" x14ac:dyDescent="0.3">
      <c r="A9" s="5"/>
      <c r="B9" s="6"/>
      <c r="C9" s="5"/>
      <c r="D9" s="5"/>
    </row>
    <row r="10" spans="1:4" x14ac:dyDescent="0.3">
      <c r="B10" s="3" t="s">
        <v>4</v>
      </c>
      <c r="C10" s="1">
        <v>460</v>
      </c>
    </row>
    <row r="11" spans="1:4" x14ac:dyDescent="0.3">
      <c r="B11" s="3" t="s">
        <v>5</v>
      </c>
      <c r="C11" s="1">
        <v>7800</v>
      </c>
    </row>
    <row r="12" spans="1:4" x14ac:dyDescent="0.3">
      <c r="B12" s="3" t="s">
        <v>6</v>
      </c>
      <c r="C12" s="1">
        <v>46</v>
      </c>
    </row>
    <row r="13" spans="1:4" x14ac:dyDescent="0.3">
      <c r="B13" s="1" t="s">
        <v>13</v>
      </c>
      <c r="C13" s="1">
        <v>10000</v>
      </c>
    </row>
    <row r="14" spans="1:4" x14ac:dyDescent="0.3">
      <c r="B14" s="1" t="s">
        <v>9</v>
      </c>
      <c r="C14" s="1">
        <v>290</v>
      </c>
    </row>
    <row r="15" spans="1:4" x14ac:dyDescent="0.3">
      <c r="B15" s="1" t="s">
        <v>14</v>
      </c>
      <c r="C15" s="1">
        <v>300</v>
      </c>
    </row>
    <row r="16" spans="1:4" x14ac:dyDescent="0.3">
      <c r="B16" s="10"/>
      <c r="C16" s="10"/>
    </row>
    <row r="20" spans="1:32" x14ac:dyDescent="0.3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3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 x14ac:dyDescent="0.3">
      <c r="A22" s="1" t="s">
        <v>7</v>
      </c>
      <c r="B22" s="8">
        <v>0</v>
      </c>
      <c r="C22" s="8">
        <v>123.40425531914893</v>
      </c>
      <c r="D22" s="8">
        <v>123.40425531914893</v>
      </c>
      <c r="E22" s="8">
        <v>123.40425531914893</v>
      </c>
      <c r="F22" s="8">
        <v>123.40425531914893</v>
      </c>
      <c r="G22" s="8">
        <v>123.40425531914893</v>
      </c>
      <c r="H22" s="8">
        <v>123.40425531914893</v>
      </c>
      <c r="I22" s="8">
        <v>123.40425531914893</v>
      </c>
      <c r="J22" s="8">
        <v>123.40425531914893</v>
      </c>
      <c r="K22" s="8">
        <v>123.40425531914893</v>
      </c>
      <c r="L22" s="8">
        <v>123.40425531914893</v>
      </c>
      <c r="M22" s="8">
        <v>123.40425531914893</v>
      </c>
      <c r="N22" s="8">
        <v>123.40425531914893</v>
      </c>
      <c r="O22" s="8">
        <v>123.40425531914893</v>
      </c>
      <c r="P22" s="8">
        <v>123.40425531914893</v>
      </c>
      <c r="Q22" s="8">
        <v>123.40425531914893</v>
      </c>
      <c r="R22" s="8">
        <v>123.40425531914893</v>
      </c>
      <c r="S22" s="8">
        <v>123.40425531914893</v>
      </c>
      <c r="T22" s="8">
        <v>123.40425531914893</v>
      </c>
      <c r="U22" s="8">
        <v>123.40425531914893</v>
      </c>
      <c r="V22" s="8">
        <v>123.40425531914893</v>
      </c>
      <c r="W22" s="8">
        <v>123.40425531914893</v>
      </c>
      <c r="X22" s="8">
        <v>123.40425531914904</v>
      </c>
      <c r="Y22" s="8">
        <v>123.40425531915737</v>
      </c>
      <c r="Z22" s="8">
        <v>123.40425531981718</v>
      </c>
      <c r="AA22" s="8">
        <v>123.4042553721623</v>
      </c>
      <c r="AB22" s="8">
        <v>123.40425952487608</v>
      </c>
      <c r="AC22" s="8">
        <v>123.40458897350338</v>
      </c>
      <c r="AD22" s="8">
        <v>123.43072523126898</v>
      </c>
      <c r="AE22" s="8">
        <v>125.50420168067227</v>
      </c>
      <c r="AF22" s="8">
        <f>C14</f>
        <v>290</v>
      </c>
    </row>
    <row r="24" spans="1:32" x14ac:dyDescent="0.3">
      <c r="A24" s="5" t="s">
        <v>10</v>
      </c>
      <c r="B24" s="5"/>
      <c r="C24" s="5">
        <f t="shared" ref="C24:AE24" si="1">($C$13*$C$14*$C$6+D22)/($C$12+$C$13*$C$6)</f>
        <v>123.40425531914893</v>
      </c>
      <c r="D24" s="5">
        <f t="shared" si="1"/>
        <v>123.40425531914893</v>
      </c>
      <c r="E24" s="5">
        <f t="shared" si="1"/>
        <v>123.40425531914893</v>
      </c>
      <c r="F24" s="5">
        <f t="shared" si="1"/>
        <v>123.40425531914893</v>
      </c>
      <c r="G24" s="5">
        <f t="shared" si="1"/>
        <v>123.40425531914893</v>
      </c>
      <c r="H24" s="5">
        <f t="shared" si="1"/>
        <v>123.40425531914893</v>
      </c>
      <c r="I24" s="5">
        <f t="shared" si="1"/>
        <v>123.40425531914893</v>
      </c>
      <c r="J24" s="5">
        <f t="shared" si="1"/>
        <v>123.40425531914893</v>
      </c>
      <c r="K24" s="5">
        <f t="shared" si="1"/>
        <v>123.40425531914893</v>
      </c>
      <c r="L24" s="5">
        <f t="shared" si="1"/>
        <v>123.40425531914893</v>
      </c>
      <c r="M24" s="5">
        <f t="shared" si="1"/>
        <v>123.40425531914893</v>
      </c>
      <c r="N24" s="5">
        <f t="shared" si="1"/>
        <v>123.40425531914893</v>
      </c>
      <c r="O24" s="5">
        <f t="shared" si="1"/>
        <v>123.40425531914893</v>
      </c>
      <c r="P24" s="5">
        <f t="shared" si="1"/>
        <v>123.40425531914893</v>
      </c>
      <c r="Q24" s="5">
        <f t="shared" si="1"/>
        <v>123.40425531914893</v>
      </c>
      <c r="R24" s="5">
        <f t="shared" si="1"/>
        <v>123.40425531914893</v>
      </c>
      <c r="S24" s="5">
        <f t="shared" si="1"/>
        <v>123.40425531914893</v>
      </c>
      <c r="T24" s="5">
        <f t="shared" si="1"/>
        <v>123.40425531914893</v>
      </c>
      <c r="U24" s="5">
        <f t="shared" si="1"/>
        <v>123.40425531914893</v>
      </c>
      <c r="V24" s="5">
        <f t="shared" si="1"/>
        <v>123.40425531914893</v>
      </c>
      <c r="W24" s="5">
        <f t="shared" si="1"/>
        <v>123.40425531914893</v>
      </c>
      <c r="X24" s="5">
        <f t="shared" si="1"/>
        <v>123.40425531914904</v>
      </c>
      <c r="Y24" s="5">
        <f t="shared" si="1"/>
        <v>123.40425531915737</v>
      </c>
      <c r="Z24" s="5">
        <f t="shared" si="1"/>
        <v>123.40425531981718</v>
      </c>
      <c r="AA24" s="5">
        <f t="shared" si="1"/>
        <v>123.4042553721623</v>
      </c>
      <c r="AB24" s="5">
        <f t="shared" si="1"/>
        <v>123.40425952487608</v>
      </c>
      <c r="AC24" s="5">
        <f t="shared" si="1"/>
        <v>123.40458897350338</v>
      </c>
      <c r="AD24" s="5">
        <f t="shared" si="1"/>
        <v>123.43072523126898</v>
      </c>
      <c r="AE24" s="5">
        <f t="shared" si="1"/>
        <v>125.50420168067227</v>
      </c>
      <c r="AF24" s="5"/>
    </row>
    <row r="25" spans="1:32" x14ac:dyDescent="0.3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</row>
  </sheetData>
  <conditionalFormatting sqref="B22:AF22"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Зайцев</dc:creator>
  <cp:lastModifiedBy>Зайцев</cp:lastModifiedBy>
  <dcterms:created xsi:type="dcterms:W3CDTF">2021-05-28T10:01:56Z</dcterms:created>
  <dcterms:modified xsi:type="dcterms:W3CDTF">2021-05-28T19:39:07Z</dcterms:modified>
</cp:coreProperties>
</file>