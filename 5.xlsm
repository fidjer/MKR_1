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ver\3 курс\3 курс МСС\"/>
    </mc:Choice>
  </mc:AlternateContent>
  <xr:revisionPtr revIDLastSave="0" documentId="13_ncr:1_{43BF456F-CE31-488E-B6BD-3B30106390B3}" xr6:coauthVersionLast="46" xr6:coauthVersionMax="46" xr10:uidLastSave="{00000000-0000-0000-0000-000000000000}"/>
  <bookViews>
    <workbookView xWindow="-108" yWindow="-108" windowWidth="23256" windowHeight="12600" xr2:uid="{0CB7628C-4809-46D7-9F22-95910A7D4A2B}"/>
  </bookViews>
  <sheets>
    <sheet name="ro=const" sheetId="1" r:id="rId1"/>
    <sheet name="ro=var" sheetId="2" r:id="rId2"/>
  </sheets>
  <externalReferences>
    <externalReference r:id="rId3"/>
    <externalReference r:id="rId4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Q16" i="2" s="1"/>
  <c r="Q17" i="2" s="1"/>
  <c r="P12" i="2"/>
  <c r="O12" i="2"/>
  <c r="N12" i="2"/>
  <c r="N16" i="2" s="1"/>
  <c r="N17" i="2" s="1"/>
  <c r="M12" i="2"/>
  <c r="M16" i="2" s="1"/>
  <c r="M17" i="2" s="1"/>
  <c r="L12" i="2"/>
  <c r="K12" i="2"/>
  <c r="J12" i="2"/>
  <c r="J16" i="2" s="1"/>
  <c r="J17" i="2" s="1"/>
  <c r="I12" i="2"/>
  <c r="I16" i="2" s="1"/>
  <c r="I17" i="2" s="1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I3" i="2"/>
  <c r="I4" i="2" s="1"/>
  <c r="H3" i="2"/>
  <c r="H4" i="2" s="1"/>
  <c r="G12" i="1"/>
  <c r="G16" i="1" s="1"/>
  <c r="G17" i="1" s="1"/>
  <c r="H3" i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H4" i="1"/>
  <c r="I4" i="1"/>
  <c r="J4" i="1"/>
  <c r="K4" i="1"/>
  <c r="L4" i="1"/>
  <c r="M4" i="1"/>
  <c r="N4" i="1"/>
  <c r="O4" i="1"/>
  <c r="P4" i="1"/>
  <c r="Q4" i="1"/>
  <c r="G4" i="1"/>
  <c r="I3" i="1"/>
  <c r="J3" i="1" s="1"/>
  <c r="K3" i="1" s="1"/>
  <c r="L3" i="1" s="1"/>
  <c r="M3" i="1" s="1"/>
  <c r="N3" i="1" s="1"/>
  <c r="O3" i="1" s="1"/>
  <c r="P3" i="1" s="1"/>
  <c r="I2" i="1"/>
  <c r="J2" i="1"/>
  <c r="K2" i="1"/>
  <c r="L2" i="1"/>
  <c r="M2" i="1" s="1"/>
  <c r="N2" i="1" s="1"/>
  <c r="O2" i="1" s="1"/>
  <c r="P2" i="1" s="1"/>
  <c r="Q2" i="1" s="1"/>
  <c r="H2" i="1"/>
  <c r="C4" i="1"/>
  <c r="I22" i="1" l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M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<sst xmlns="http://schemas.openxmlformats.org/spreadsheetml/2006/main" count="55" uniqueCount="25">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</sst>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0" fontId="0" fillId="3" borderId="1" xfId="0" applyFill="1" applyBorder="1"/>
    <xf numFmtId="166" fontId="0" fillId="3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General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R,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1.3666963331192272</c:v>
                </c:pt>
                <c:pt idx="1">
                  <c:v>1.3667003714783417</c:v>
                </c:pt>
                <c:pt idx="2">
                  <c:v>1.3669251884098725</c:v>
                </c:pt>
                <c:pt idx="3">
                  <c:v>1.3671817912822168</c:v>
                </c:pt>
                <c:pt idx="4">
                  <c:v>1.3674478827502272</c:v>
                </c:pt>
                <c:pt idx="5">
                  <c:v>1.36770026588791</c:v>
                </c:pt>
                <c:pt idx="6">
                  <c:v>1.3679171440280218</c:v>
                </c:pt>
                <c:pt idx="7">
                  <c:v>1.3680814635648844</c:v>
                </c:pt>
                <c:pt idx="8">
                  <c:v>1.3681850539064733</c:v>
                </c:pt>
                <c:pt idx="9">
                  <c:v>1.3682325297172326</c:v>
                </c:pt>
                <c:pt idx="10">
                  <c:v>1.3682425610246536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G, </a:t>
                </a:r>
                <a:r>
                  <a:rPr lang="ru-RU" sz="2400">
                    <a:solidFill>
                      <a:schemeClr val="tx1"/>
                    </a:solidFill>
                  </a:rPr>
                  <a:t>кг</a:t>
                </a:r>
                <a:r>
                  <a:rPr lang="en-US" sz="2400">
                    <a:solidFill>
                      <a:schemeClr val="tx1"/>
                    </a:solidFill>
                  </a:rPr>
                  <a:t>/c</a:t>
                </a:r>
                <a:endParaRPr lang="ru-RU" sz="2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133050.45415058901</c:v>
                </c:pt>
                <c:pt idx="1">
                  <c:v>132583.67182289076</c:v>
                </c:pt>
                <c:pt idx="2">
                  <c:v>131973.45583551101</c:v>
                </c:pt>
                <c:pt idx="3">
                  <c:v>131164.70440047697</c:v>
                </c:pt>
                <c:pt idx="4">
                  <c:v>130074.84097772367</c:v>
                </c:pt>
                <c:pt idx="5">
                  <c:v>128578.34703624115</c:v>
                </c:pt>
                <c:pt idx="6">
                  <c:v>126479.21849325717</c:v>
                </c:pt>
                <c:pt idx="7">
                  <c:v>123461.82474043293</c:v>
                </c:pt>
                <c:pt idx="8">
                  <c:v>118999.59303076175</c:v>
                </c:pt>
                <c:pt idx="9">
                  <c:v>112177.19821167205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P, </a:t>
                </a:r>
                <a:r>
                  <a:rPr lang="ru-RU" sz="2400">
                    <a:solidFill>
                      <a:schemeClr val="tx1"/>
                    </a:solidFill>
                  </a:rPr>
                  <a:t>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U,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  <a:r>
                  <a:rPr lang="en-US" sz="2400">
                    <a:solidFill>
                      <a:schemeClr val="tx1"/>
                    </a:solidFill>
                  </a:rPr>
                  <a:t>/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U,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  <a:r>
                  <a:rPr lang="en-US" sz="2400">
                    <a:solidFill>
                      <a:schemeClr val="tx1"/>
                    </a:solidFill>
                  </a:rPr>
                  <a:t>/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R,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G, </a:t>
                </a:r>
                <a:r>
                  <a:rPr lang="ru-RU" sz="2400">
                    <a:solidFill>
                      <a:schemeClr val="tx1"/>
                    </a:solidFill>
                  </a:rPr>
                  <a:t>кг</a:t>
                </a:r>
                <a:r>
                  <a:rPr lang="en-US" sz="2400">
                    <a:solidFill>
                      <a:schemeClr val="tx1"/>
                    </a:solidFill>
                  </a:rPr>
                  <a:t>/c</a:t>
                </a:r>
                <a:endParaRPr lang="ru-RU" sz="2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P, </a:t>
                </a:r>
                <a:r>
                  <a:rPr lang="ru-RU" sz="2400">
                    <a:solidFill>
                      <a:schemeClr val="tx1"/>
                    </a:solidFill>
                  </a:rPr>
                  <a:t>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U,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  <a:r>
                  <a:rPr lang="en-US" sz="2400">
                    <a:solidFill>
                      <a:schemeClr val="tx1"/>
                    </a:solidFill>
                  </a:rPr>
                  <a:t>/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360045</xdr:colOff>
          <xdr:row>15</xdr:row>
          <xdr:rowOff>9525</xdr:rowOff>
        </xdr:from>
        <xdr:to>
          <xdr:col>3</xdr:col>
          <xdr:colOff>55245</xdr:colOff>
          <xdr:row>18</xdr:row>
          <xdr:rowOff>17145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8D5C9CA-0C01-48F0-98AC-F78F2250B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23</xdr:row>
      <xdr:rowOff>104775</xdr:rowOff>
    </xdr:from>
    <xdr:to>
      <xdr:col>7</xdr:col>
      <xdr:colOff>9525</xdr:colOff>
      <xdr:row>44</xdr:row>
      <xdr:rowOff>66675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498B94E-1D05-4A89-9E13-14923A2EE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95250</xdr:rowOff>
    </xdr:from>
    <xdr:to>
      <xdr:col>14</xdr:col>
      <xdr:colOff>161925</xdr:colOff>
      <xdr:row>44</xdr:row>
      <xdr:rowOff>57150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7F10D4A-7825-4A18-B3FE-FB7CE6C22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7</xdr:col>
      <xdr:colOff>9525</xdr:colOff>
      <xdr:row>64</xdr:row>
      <xdr:rowOff>142875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E5CE590-1331-4CC1-8A3E-C13252E30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44</xdr:row>
      <xdr:rowOff>0</xdr:rowOff>
    </xdr:from>
    <xdr:to>
      <xdr:col>14</xdr:col>
      <xdr:colOff>161925</xdr:colOff>
      <xdr:row>64</xdr:row>
      <xdr:rowOff>142875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83BFE5A-9005-43FD-B6F5-CF34C5683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29</xdr:row>
      <xdr:rowOff>141514</xdr:rowOff>
    </xdr:from>
    <xdr:to>
      <xdr:col>24</xdr:col>
      <xdr:colOff>161925</xdr:colOff>
      <xdr:row>54</xdr:row>
      <xdr:rowOff>142875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418BD46-E319-4A12-A288-E3E12032E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16</xdr:row>
          <xdr:rowOff>114300</xdr:rowOff>
        </xdr:from>
        <xdr:to>
          <xdr:col>2</xdr:col>
          <xdr:colOff>579120</xdr:colOff>
          <xdr:row>19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21</xdr:row>
      <xdr:rowOff>9525</xdr:rowOff>
    </xdr:from>
    <xdr:to>
      <xdr:col>7</xdr:col>
      <xdr:colOff>9525</xdr:colOff>
      <xdr:row>42</xdr:row>
      <xdr:rowOff>57150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10B75AFE-9A71-4B6D-9695-E7F320FFD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14</xdr:col>
      <xdr:colOff>161925</xdr:colOff>
      <xdr:row>42</xdr:row>
      <xdr:rowOff>47625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ADEB4C7-A262-40F5-8781-12F3118B1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41</xdr:row>
      <xdr:rowOff>171450</xdr:rowOff>
    </xdr:from>
    <xdr:to>
      <xdr:col>7</xdr:col>
      <xdr:colOff>9525</xdr:colOff>
      <xdr:row>63</xdr:row>
      <xdr:rowOff>34018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667DC6BE-15A5-48AB-9E92-39DF70C53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41</xdr:row>
      <xdr:rowOff>171450</xdr:rowOff>
    </xdr:from>
    <xdr:to>
      <xdr:col>14</xdr:col>
      <xdr:colOff>161925</xdr:colOff>
      <xdr:row>63</xdr:row>
      <xdr:rowOff>34018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FAA57C91-944E-4408-86D4-FA6314D41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ab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ab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2"/>
      <sheetName val="Лист1"/>
      <sheetName val="Лист3"/>
    </sheetNames>
    <sheetDataSet>
      <sheetData sheetId="0">
        <row r="21">
          <cell r="B21">
            <v>0</v>
          </cell>
          <cell r="C21">
            <v>3.3333333333333335E-3</v>
          </cell>
          <cell r="D21">
            <v>6.6666666666666671E-3</v>
          </cell>
          <cell r="E21">
            <v>0.01</v>
          </cell>
          <cell r="F21">
            <v>1.3333333333333334E-2</v>
          </cell>
          <cell r="G21">
            <v>1.6666666666666666E-2</v>
          </cell>
          <cell r="H21">
            <v>0.02</v>
          </cell>
          <cell r="I21">
            <v>2.3333333333333334E-2</v>
          </cell>
          <cell r="J21">
            <v>2.6666666666666668E-2</v>
          </cell>
          <cell r="K21">
            <v>3.0000000000000002E-2</v>
          </cell>
          <cell r="L21">
            <v>3.3333333333333333E-2</v>
          </cell>
          <cell r="M21">
            <v>3.6666666666666667E-2</v>
          </cell>
          <cell r="N21">
            <v>0.04</v>
          </cell>
          <cell r="O21">
            <v>4.3333333333333335E-2</v>
          </cell>
          <cell r="P21">
            <v>4.6666666666666669E-2</v>
          </cell>
          <cell r="Q21">
            <v>0.05</v>
          </cell>
          <cell r="R21">
            <v>5.3333333333333337E-2</v>
          </cell>
          <cell r="S21">
            <v>5.6666666666666671E-2</v>
          </cell>
          <cell r="T21">
            <v>6.0000000000000005E-2</v>
          </cell>
          <cell r="U21">
            <v>6.3333333333333339E-2</v>
          </cell>
          <cell r="V21">
            <v>6.6666666666666666E-2</v>
          </cell>
          <cell r="W21">
            <v>6.9999999999999993E-2</v>
          </cell>
          <cell r="X21">
            <v>7.333333333333332E-2</v>
          </cell>
          <cell r="Y21">
            <v>7.6666666666666647E-2</v>
          </cell>
          <cell r="Z21">
            <v>7.9999999999999974E-2</v>
          </cell>
          <cell r="AA21">
            <v>8.3333333333333301E-2</v>
          </cell>
          <cell r="AB21">
            <v>8.6666666666666628E-2</v>
          </cell>
          <cell r="AC21">
            <v>8.9999999999999955E-2</v>
          </cell>
          <cell r="AD21">
            <v>9.3333333333333282E-2</v>
          </cell>
          <cell r="AE21">
            <v>9.6666666666666609E-2</v>
          </cell>
          <cell r="AF21">
            <v>9.9999999999999936E-2</v>
          </cell>
        </row>
        <row r="22">
          <cell r="B22">
            <v>6.666666666666667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100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"/>
      <sheetName val="явная схема"/>
      <sheetName val="неявная 2"/>
      <sheetName val="явная 2"/>
    </sheetNames>
    <sheetDataSet>
      <sheetData sheetId="0" refreshError="1"/>
      <sheetData sheetId="1">
        <row r="21">
          <cell r="B21">
            <v>0</v>
          </cell>
          <cell r="C21">
            <v>3.3333333333333335E-3</v>
          </cell>
          <cell r="D21">
            <v>6.6666666666666671E-3</v>
          </cell>
          <cell r="E21">
            <v>0.01</v>
          </cell>
          <cell r="F21">
            <v>1.3333333333333334E-2</v>
          </cell>
          <cell r="G21">
            <v>1.6666666666666666E-2</v>
          </cell>
          <cell r="H21">
            <v>0.02</v>
          </cell>
          <cell r="I21">
            <v>2.3333333333333334E-2</v>
          </cell>
          <cell r="J21">
            <v>2.6666666666666668E-2</v>
          </cell>
          <cell r="K21">
            <v>3.0000000000000002E-2</v>
          </cell>
          <cell r="L21">
            <v>3.3333333333333333E-2</v>
          </cell>
          <cell r="M21">
            <v>3.6666666666666667E-2</v>
          </cell>
          <cell r="N21">
            <v>0.04</v>
          </cell>
          <cell r="O21">
            <v>4.3333333333333335E-2</v>
          </cell>
          <cell r="P21">
            <v>4.6666666666666669E-2</v>
          </cell>
          <cell r="Q21">
            <v>0.05</v>
          </cell>
          <cell r="R21">
            <v>5.3333333333333337E-2</v>
          </cell>
          <cell r="S21">
            <v>5.6666666666666671E-2</v>
          </cell>
          <cell r="T21">
            <v>6.0000000000000005E-2</v>
          </cell>
          <cell r="U21">
            <v>6.3333333333333339E-2</v>
          </cell>
          <cell r="V21">
            <v>6.6666666666666666E-2</v>
          </cell>
          <cell r="W21">
            <v>6.9999999999999993E-2</v>
          </cell>
          <cell r="X21">
            <v>7.333333333333332E-2</v>
          </cell>
          <cell r="Y21">
            <v>7.6666666666666647E-2</v>
          </cell>
          <cell r="Z21">
            <v>7.9999999999999974E-2</v>
          </cell>
          <cell r="AA21">
            <v>8.3333333333333301E-2</v>
          </cell>
          <cell r="AB21">
            <v>8.6666666666666628E-2</v>
          </cell>
          <cell r="AC21">
            <v>8.9999999999999955E-2</v>
          </cell>
          <cell r="AD21">
            <v>9.3333333333333282E-2</v>
          </cell>
          <cell r="AE21">
            <v>9.6666666666666609E-2</v>
          </cell>
          <cell r="AF21">
            <v>9.9999999999999936E-2</v>
          </cell>
        </row>
        <row r="22">
          <cell r="B22">
            <v>300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100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DD20F-1324-41D1-AACE-34D2E6297EB9}">
  <sheetPr codeName="Лист1"/>
  <dimension ref="B1:V29"/>
  <sheetViews>
    <sheetView tabSelected="1" zoomScale="70" zoomScaleNormal="70" workbookViewId="0">
      <selection activeCell="AD40" sqref="AD40"/>
    </sheetView>
  </sheetViews>
  <sheetFormatPr defaultRowHeight="14.4" x14ac:dyDescent="0.3"/>
  <cols>
    <col min="7" max="7" width="11.109375" bestFit="1" customWidth="1"/>
  </cols>
  <sheetData>
    <row r="1" spans="2:17" x14ac:dyDescent="0.3">
      <c r="F1" s="1" t="s">
        <v>8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1" t="s">
        <v>9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1" t="s">
        <v>0</v>
      </c>
      <c r="C3" s="1">
        <v>0.1</v>
      </c>
      <c r="F3" s="1" t="s">
        <v>3</v>
      </c>
      <c r="G3" s="4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4">
        <v>0.04</v>
      </c>
    </row>
    <row r="4" spans="2:17" x14ac:dyDescent="0.3">
      <c r="B4" s="1" t="s">
        <v>1</v>
      </c>
      <c r="C4" s="1">
        <f>C3/10</f>
        <v>0.01</v>
      </c>
      <c r="F4" s="1" t="s">
        <v>10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3">
      <c r="F5" s="1" t="s">
        <v>11</v>
      </c>
      <c r="G5" s="2">
        <v>57.361770732970903</v>
      </c>
      <c r="H5" s="2">
        <v>63.55893647553463</v>
      </c>
      <c r="I5" s="2">
        <v>70.828855833440514</v>
      </c>
      <c r="J5" s="2">
        <v>79.421668839555522</v>
      </c>
      <c r="K5" s="2">
        <v>89.677106167680876</v>
      </c>
      <c r="L5" s="2">
        <v>102.05150505930324</v>
      </c>
      <c r="M5" s="2">
        <v>117.16960557841188</v>
      </c>
      <c r="N5" s="2">
        <v>135.90540256665204</v>
      </c>
      <c r="O5" s="2">
        <v>159.51222826440323</v>
      </c>
      <c r="P5" s="2">
        <v>189.8393627020636</v>
      </c>
      <c r="Q5" s="2">
        <v>229.70732955548328</v>
      </c>
    </row>
    <row r="6" spans="2:17" x14ac:dyDescent="0.3">
      <c r="B6" s="1" t="s">
        <v>2</v>
      </c>
      <c r="C6" s="1">
        <v>1.4</v>
      </c>
      <c r="F6" s="1" t="s">
        <v>12</v>
      </c>
      <c r="G6" s="2">
        <v>133050.45415058901</v>
      </c>
      <c r="H6" s="2">
        <v>132583.67182289076</v>
      </c>
      <c r="I6" s="2">
        <v>131973.45583551101</v>
      </c>
      <c r="J6" s="2">
        <v>131164.70440047697</v>
      </c>
      <c r="K6" s="2">
        <v>130074.84097772367</v>
      </c>
      <c r="L6" s="2">
        <v>128578.34703624115</v>
      </c>
      <c r="M6" s="2">
        <v>126479.21849325717</v>
      </c>
      <c r="N6" s="2">
        <v>123461.82474043293</v>
      </c>
      <c r="O6" s="2">
        <v>118999.59303076175</v>
      </c>
      <c r="P6" s="2">
        <v>112177.19821167205</v>
      </c>
      <c r="Q6" s="2">
        <v>101325</v>
      </c>
    </row>
    <row r="7" spans="2:17" x14ac:dyDescent="0.3">
      <c r="B7" s="1" t="s">
        <v>3</v>
      </c>
      <c r="C7" s="1">
        <v>286.97199999999998</v>
      </c>
      <c r="F7" s="1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7" x14ac:dyDescent="0.3">
      <c r="B8" s="1" t="s">
        <v>4</v>
      </c>
      <c r="C8" s="1">
        <f>C7*(C6/(C6-1))</f>
        <v>1004.402</v>
      </c>
      <c r="F8" s="8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17" x14ac:dyDescent="0.3">
      <c r="F9" s="1" t="s">
        <v>14</v>
      </c>
      <c r="G9" s="5">
        <f>G4*G7*G12</f>
        <v>1.3666963331192272</v>
      </c>
      <c r="H9" s="5">
        <f>H4*H7*H12</f>
        <v>1.3667003714783417</v>
      </c>
      <c r="I9" s="5">
        <f t="shared" ref="I9:Q9" si="3">I4*I7*I12</f>
        <v>1.3669251884098725</v>
      </c>
      <c r="J9" s="5">
        <f t="shared" si="3"/>
        <v>1.3671817912822168</v>
      </c>
      <c r="K9" s="5">
        <f t="shared" si="3"/>
        <v>1.3674478827502272</v>
      </c>
      <c r="L9" s="5">
        <f t="shared" si="3"/>
        <v>1.36770026588791</v>
      </c>
      <c r="M9" s="5">
        <f t="shared" si="3"/>
        <v>1.3679171440280218</v>
      </c>
      <c r="N9" s="5">
        <f t="shared" si="3"/>
        <v>1.3680814635648844</v>
      </c>
      <c r="O9" s="5">
        <f t="shared" si="3"/>
        <v>1.3681850539064733</v>
      </c>
      <c r="P9" s="5">
        <f t="shared" si="3"/>
        <v>1.3682325297172326</v>
      </c>
      <c r="Q9" s="5">
        <f t="shared" si="3"/>
        <v>1.3682425610246536</v>
      </c>
    </row>
    <row r="10" spans="2:17" x14ac:dyDescent="0.3">
      <c r="B10" s="10" t="s">
        <v>5</v>
      </c>
      <c r="C10" s="10">
        <v>135000</v>
      </c>
      <c r="F10" s="1" t="s">
        <v>15</v>
      </c>
      <c r="G10" s="7">
        <f>(G12)*(G9-H9)</f>
        <v>-2.3164811390438144E-4</v>
      </c>
      <c r="H10" s="7">
        <f>(H12)*(H9-I9)</f>
        <v>-1.4289167291770162E-2</v>
      </c>
      <c r="I10" s="7">
        <f t="shared" ref="I10:P10" si="4">(I12)*(I9-J9)</f>
        <v>-1.817494243035182E-2</v>
      </c>
      <c r="J10" s="7">
        <f t="shared" si="4"/>
        <v>-2.1133487274772357E-2</v>
      </c>
      <c r="K10" s="7">
        <f t="shared" si="4"/>
        <v>-2.2633042942868973E-2</v>
      </c>
      <c r="L10" s="7">
        <f t="shared" si="4"/>
        <v>-2.2132781049266841E-2</v>
      </c>
      <c r="M10" s="7">
        <f t="shared" si="4"/>
        <v>-1.9253279596606658E-2</v>
      </c>
      <c r="N10" s="7">
        <f t="shared" si="4"/>
        <v>-1.4078497674358457E-2</v>
      </c>
      <c r="O10" s="7">
        <f t="shared" si="4"/>
        <v>-7.5729751918951213E-3</v>
      </c>
      <c r="P10" s="7">
        <f t="shared" si="4"/>
        <v>-1.9043373072512412E-3</v>
      </c>
      <c r="Q10" s="11">
        <v>0</v>
      </c>
    </row>
    <row r="11" spans="2:17" x14ac:dyDescent="0.3">
      <c r="B11" s="10" t="s">
        <v>6</v>
      </c>
      <c r="C11" s="10">
        <v>288.16000000000003</v>
      </c>
    </row>
    <row r="12" spans="2:17" x14ac:dyDescent="0.3">
      <c r="B12" s="10" t="s">
        <v>12</v>
      </c>
      <c r="C12" s="10">
        <v>101325</v>
      </c>
      <c r="F12" s="1" t="s">
        <v>11</v>
      </c>
      <c r="G12" s="12">
        <f>(H4*H5*H7)/(G4*G7)</f>
        <v>57.361940169170005</v>
      </c>
      <c r="H12" s="3">
        <f>((G6-H6)/H7+G5*H5)^0.5</f>
        <v>63.559124281563086</v>
      </c>
      <c r="I12" s="3">
        <f t="shared" ref="I12:Q12" si="5">((H6-I6)/I7+H5*I5)^0.5</f>
        <v>70.82906853032101</v>
      </c>
      <c r="J12" s="3">
        <f t="shared" si="5"/>
        <v>79.421889896703618</v>
      </c>
      <c r="K12" s="3">
        <f t="shared" si="5"/>
        <v>89.677318186414354</v>
      </c>
      <c r="L12" s="3">
        <f t="shared" si="5"/>
        <v>102.0516915068732</v>
      </c>
      <c r="M12" s="3">
        <f t="shared" si="5"/>
        <v>117.16975330029275</v>
      </c>
      <c r="N12" s="3">
        <f t="shared" si="5"/>
        <v>135.90550488025008</v>
      </c>
      <c r="O12" s="3">
        <f t="shared" si="5"/>
        <v>159.51228785283837</v>
      </c>
      <c r="P12" s="3">
        <f t="shared" si="5"/>
        <v>189.83939254770934</v>
      </c>
      <c r="Q12" s="3">
        <f t="shared" si="5"/>
        <v>229.70734908838384</v>
      </c>
    </row>
    <row r="13" spans="2:17" x14ac:dyDescent="0.3">
      <c r="F13" s="1" t="s">
        <v>12</v>
      </c>
      <c r="G13" s="13">
        <f>C10-(G7*G12^2)/2</f>
        <v>133050.44263336691</v>
      </c>
      <c r="H13" s="2">
        <f>H6+H10</f>
        <v>132583.65753372345</v>
      </c>
      <c r="I13" s="2">
        <f t="shared" ref="I13:P13" si="6">I6+I10</f>
        <v>131973.43766056857</v>
      </c>
      <c r="J13" s="2">
        <f t="shared" si="6"/>
        <v>131164.68326698968</v>
      </c>
      <c r="K13" s="2">
        <f t="shared" si="6"/>
        <v>130074.81834468072</v>
      </c>
      <c r="L13" s="2">
        <f t="shared" si="6"/>
        <v>128578.3249034601</v>
      </c>
      <c r="M13" s="2">
        <f t="shared" si="6"/>
        <v>126479.19923997758</v>
      </c>
      <c r="N13" s="2">
        <f t="shared" si="6"/>
        <v>123461.81066193526</v>
      </c>
      <c r="O13" s="2">
        <f t="shared" si="6"/>
        <v>118999.58545778655</v>
      </c>
      <c r="P13" s="2">
        <f t="shared" si="6"/>
        <v>112177.19630733474</v>
      </c>
      <c r="Q13" s="13">
        <f>Q6+Q10</f>
        <v>101325</v>
      </c>
    </row>
    <row r="14" spans="2:17" x14ac:dyDescent="0.3">
      <c r="B14" s="1" t="s">
        <v>7</v>
      </c>
      <c r="C14" s="1">
        <v>2100</v>
      </c>
      <c r="D14">
        <v>2101</v>
      </c>
      <c r="F14" s="1" t="s">
        <v>13</v>
      </c>
      <c r="G14" s="5">
        <v>1.1850000000000001</v>
      </c>
      <c r="H14" s="5">
        <v>1.1850000000000001</v>
      </c>
      <c r="I14" s="5">
        <v>1.1850000000000001</v>
      </c>
      <c r="J14" s="5">
        <v>1.1850000000000001</v>
      </c>
      <c r="K14" s="5">
        <v>1.1850000000000001</v>
      </c>
      <c r="L14" s="5">
        <v>1.1850000000000001</v>
      </c>
      <c r="M14" s="5">
        <v>1.1850000000000001</v>
      </c>
      <c r="N14" s="5">
        <v>1.1850000000000001</v>
      </c>
      <c r="O14" s="5">
        <v>1.1850000000000001</v>
      </c>
      <c r="P14" s="5">
        <v>1.1850000000000001</v>
      </c>
      <c r="Q14" s="5">
        <v>1.1850000000000001</v>
      </c>
    </row>
    <row r="16" spans="2:17" x14ac:dyDescent="0.3">
      <c r="F16" s="1" t="s">
        <v>16</v>
      </c>
      <c r="G16" s="1">
        <f>$C$11-(G12^2)/(2*$C$8)</f>
        <v>286.52201432296459</v>
      </c>
      <c r="H16" s="1">
        <f t="shared" ref="H16:Q16" si="7">$C$11-(H12^2)/(2*$C$8)</f>
        <v>286.14897140814179</v>
      </c>
      <c r="I16" s="1">
        <f t="shared" si="7"/>
        <v>285.66261501427073</v>
      </c>
      <c r="J16" s="1">
        <f t="shared" si="7"/>
        <v>285.01990440343405</v>
      </c>
      <c r="K16" s="1">
        <f t="shared" si="7"/>
        <v>284.15661221447817</v>
      </c>
      <c r="L16" s="1">
        <f t="shared" si="7"/>
        <v>282.97554808761134</v>
      </c>
      <c r="M16" s="1">
        <f t="shared" si="7"/>
        <v>281.32570900473547</v>
      </c>
      <c r="N16" s="1">
        <f t="shared" si="7"/>
        <v>278.96532184486114</v>
      </c>
      <c r="O16" s="1">
        <f t="shared" si="7"/>
        <v>275.49367218700945</v>
      </c>
      <c r="P16" s="1">
        <f t="shared" si="7"/>
        <v>270.21947670211568</v>
      </c>
      <c r="Q16" s="1">
        <f t="shared" si="7"/>
        <v>261.89289468499038</v>
      </c>
    </row>
    <row r="17" spans="6:22" x14ac:dyDescent="0.3">
      <c r="F17" s="1" t="s">
        <v>17</v>
      </c>
      <c r="G17" s="1">
        <f>SQRT($C$6*$C$7*G16)</f>
        <v>339.28352994509726</v>
      </c>
      <c r="H17" s="1">
        <f t="shared" ref="H17:Q17" si="8">SQRT($C$6*$C$7*H16)</f>
        <v>339.06258960863283</v>
      </c>
      <c r="I17" s="1">
        <f t="shared" si="8"/>
        <v>338.77432124974496</v>
      </c>
      <c r="J17" s="1">
        <f t="shared" si="8"/>
        <v>338.39300348713948</v>
      </c>
      <c r="K17" s="1">
        <f t="shared" si="8"/>
        <v>337.88013828660974</v>
      </c>
      <c r="L17" s="1">
        <f t="shared" si="8"/>
        <v>337.17722725610815</v>
      </c>
      <c r="M17" s="1">
        <f t="shared" si="8"/>
        <v>336.19286415733114</v>
      </c>
      <c r="N17" s="1">
        <f t="shared" si="8"/>
        <v>334.77952577278211</v>
      </c>
      <c r="O17" s="1">
        <f t="shared" si="8"/>
        <v>332.68988282301382</v>
      </c>
      <c r="P17" s="1">
        <f t="shared" si="8"/>
        <v>329.48989838145775</v>
      </c>
      <c r="Q17" s="1">
        <f t="shared" si="8"/>
        <v>324.37370251448789</v>
      </c>
    </row>
    <row r="18" spans="6:22" x14ac:dyDescent="0.3">
      <c r="F18" s="1" t="s">
        <v>18</v>
      </c>
      <c r="G18" s="1">
        <f>G12/G17</f>
        <v>0.16906785949336325</v>
      </c>
      <c r="H18" s="1">
        <f t="shared" ref="H18:Q18" si="9">H12/H17</f>
        <v>0.18745543221069297</v>
      </c>
      <c r="I18" s="1">
        <f t="shared" si="9"/>
        <v>0.20907449026547001</v>
      </c>
      <c r="J18" s="1">
        <f t="shared" si="9"/>
        <v>0.23470310874711103</v>
      </c>
      <c r="K18" s="1">
        <f t="shared" si="9"/>
        <v>0.26541162981987654</v>
      </c>
      <c r="L18" s="1">
        <f t="shared" si="9"/>
        <v>0.30266483990438142</v>
      </c>
      <c r="M18" s="1">
        <f t="shared" si="9"/>
        <v>0.34851945354039338</v>
      </c>
      <c r="N18" s="1">
        <f t="shared" si="9"/>
        <v>0.40595524641638442</v>
      </c>
      <c r="O18" s="1">
        <f t="shared" si="9"/>
        <v>0.47946239452582506</v>
      </c>
      <c r="P18" s="1">
        <f t="shared" si="9"/>
        <v>0.57616149533036087</v>
      </c>
      <c r="Q18" s="1">
        <f t="shared" si="9"/>
        <v>0.7081565099381758</v>
      </c>
    </row>
    <row r="20" spans="6:22" x14ac:dyDescent="0.3">
      <c r="F20" s="14" t="s">
        <v>20</v>
      </c>
      <c r="G20" s="14">
        <f>1-((($C$6-1)/($C$6+1))*G21^2)</f>
        <v>0.99459235536867718</v>
      </c>
      <c r="H20" s="14">
        <f t="shared" ref="H20:Q20" si="10">1-((($C$6-1)/($C$6+1))*H21^2)</f>
        <v>0.9934335745165318</v>
      </c>
      <c r="I20" s="14">
        <f t="shared" si="10"/>
        <v>0.99196042555157893</v>
      </c>
      <c r="J20" s="14">
        <f t="shared" si="10"/>
        <v>0.99007620549130937</v>
      </c>
      <c r="K20" s="14">
        <f t="shared" si="10"/>
        <v>0.98765112516205777</v>
      </c>
      <c r="L20" s="14">
        <f t="shared" si="10"/>
        <v>0.98451570733030835</v>
      </c>
      <c r="M20" s="14">
        <f t="shared" si="10"/>
        <v>0.9804549489867217</v>
      </c>
      <c r="N20" s="14">
        <f t="shared" si="10"/>
        <v>0.97521062787936008</v>
      </c>
      <c r="O20" s="14">
        <f t="shared" si="10"/>
        <v>0.96850401863499058</v>
      </c>
      <c r="P20" s="14">
        <f t="shared" si="10"/>
        <v>0.96009889378496471</v>
      </c>
      <c r="Q20" s="14">
        <f t="shared" si="10"/>
        <v>0.94992582806459369</v>
      </c>
    </row>
    <row r="21" spans="6:22" x14ac:dyDescent="0.3">
      <c r="F21" s="14" t="s">
        <v>19</v>
      </c>
      <c r="G21" s="14">
        <f>SQRT(((($C$6+1)/2)*G18^2)/(1+2*G18^2))</f>
        <v>0.18012736546104449</v>
      </c>
      <c r="H21" s="14">
        <f t="shared" ref="H21:Q21" si="11">SQRT(((($C$6+1)/2)*H18^2)/(1+2*H18^2))</f>
        <v>0.19849068718911952</v>
      </c>
      <c r="I21" s="14">
        <f t="shared" si="11"/>
        <v>0.21963024994414249</v>
      </c>
      <c r="J21" s="14">
        <f t="shared" si="11"/>
        <v>0.24401386651611354</v>
      </c>
      <c r="K21" s="14">
        <f t="shared" si="11"/>
        <v>0.27220075133557836</v>
      </c>
      <c r="L21" s="14">
        <f t="shared" si="11"/>
        <v>0.30480445537778816</v>
      </c>
      <c r="M21" s="14">
        <f t="shared" si="11"/>
        <v>0.3424475231034233</v>
      </c>
      <c r="N21" s="14">
        <f t="shared" si="11"/>
        <v>0.38566336710120586</v>
      </c>
      <c r="O21" s="14">
        <f t="shared" si="11"/>
        <v>0.43471357028514379</v>
      </c>
      <c r="P21" s="14">
        <f t="shared" si="11"/>
        <v>0.48929197550155235</v>
      </c>
      <c r="Q21" s="14">
        <f t="shared" si="11"/>
        <v>0.54812866337424626</v>
      </c>
    </row>
    <row r="22" spans="6:22" x14ac:dyDescent="0.3">
      <c r="F22" s="14" t="s">
        <v>21</v>
      </c>
      <c r="G22" s="14">
        <f>(1-((($C$6-1)/($C$6+1))*G21^2))^($C$6/($C$6-1))</f>
        <v>0.98120083457136054</v>
      </c>
      <c r="H22" s="14">
        <f t="shared" ref="H22:Q22" si="12">(1-((($C$6-1)/($C$6+1))*H21^2))^($C$6/($C$6-1))</f>
        <v>0.97720553297139401</v>
      </c>
      <c r="I22" s="14">
        <f t="shared" si="12"/>
        <v>0.97214313093338578</v>
      </c>
      <c r="J22" s="14">
        <f t="shared" si="12"/>
        <v>0.96569544143026032</v>
      </c>
      <c r="K22" s="14">
        <f t="shared" si="12"/>
        <v>0.95744198942442293</v>
      </c>
      <c r="L22" s="14">
        <f t="shared" si="12"/>
        <v>0.94684583468535755</v>
      </c>
      <c r="M22" s="14">
        <f t="shared" si="12"/>
        <v>0.93324731817462836</v>
      </c>
      <c r="N22" s="14">
        <f t="shared" si="12"/>
        <v>0.91589247229469972</v>
      </c>
      <c r="O22" s="14">
        <f t="shared" si="12"/>
        <v>0.89403597527738221</v>
      </c>
      <c r="P22" s="14">
        <f t="shared" si="12"/>
        <v>0.86717328992627773</v>
      </c>
      <c r="Q22" s="14">
        <f t="shared" si="12"/>
        <v>0.83543744419327803</v>
      </c>
    </row>
    <row r="23" spans="6:22" x14ac:dyDescent="0.3">
      <c r="F23" s="14" t="s">
        <v>5</v>
      </c>
      <c r="G23" s="14">
        <f>G14/G22</f>
        <v>1.2077038239757201</v>
      </c>
      <c r="H23" s="14">
        <f t="shared" ref="H23:Q23" si="13">H14/H22</f>
        <v>1.2126415170785663</v>
      </c>
      <c r="I23" s="14">
        <f t="shared" si="13"/>
        <v>1.2189563062203028</v>
      </c>
      <c r="J23" s="14">
        <f t="shared" si="13"/>
        <v>1.2270949506036135</v>
      </c>
      <c r="K23" s="14">
        <f t="shared" si="13"/>
        <v>1.237672896205833</v>
      </c>
      <c r="L23" s="14">
        <f t="shared" si="13"/>
        <v>1.2515236975127872</v>
      </c>
      <c r="M23" s="14">
        <f t="shared" si="13"/>
        <v>1.2697598770685821</v>
      </c>
      <c r="N23" s="14">
        <f t="shared" si="13"/>
        <v>1.293820001633021</v>
      </c>
      <c r="O23" s="14">
        <f t="shared" si="13"/>
        <v>1.325450018532357</v>
      </c>
      <c r="P23" s="14">
        <f t="shared" si="13"/>
        <v>1.3665088786357134</v>
      </c>
      <c r="Q23" s="14">
        <f t="shared" si="13"/>
        <v>1.418418588053914</v>
      </c>
    </row>
    <row r="26" spans="6:22" x14ac:dyDescent="0.3">
      <c r="P26" s="1"/>
      <c r="Q26" s="1">
        <v>0</v>
      </c>
      <c r="R26" s="1">
        <v>2.5000000000000001E-2</v>
      </c>
      <c r="S26" s="1">
        <v>0.05</v>
      </c>
      <c r="T26" s="1">
        <v>7.4999999999999997E-2</v>
      </c>
      <c r="U26" s="1">
        <v>0.1</v>
      </c>
      <c r="V26" s="1"/>
    </row>
    <row r="27" spans="6:22" x14ac:dyDescent="0.3">
      <c r="P27" s="1" t="s">
        <v>22</v>
      </c>
      <c r="Q27" s="1">
        <v>46.31</v>
      </c>
      <c r="R27" s="1">
        <v>58.19</v>
      </c>
      <c r="S27" s="1">
        <v>80.48</v>
      </c>
      <c r="T27" s="1">
        <v>120.03</v>
      </c>
      <c r="U27" s="1">
        <v>213.26</v>
      </c>
      <c r="V27" s="1"/>
    </row>
    <row r="28" spans="6:22" x14ac:dyDescent="0.3">
      <c r="P28" s="1" t="s">
        <v>23</v>
      </c>
      <c r="Q28" s="1">
        <v>133165</v>
      </c>
      <c r="R28" s="1">
        <v>132230</v>
      </c>
      <c r="S28" s="1">
        <v>129765</v>
      </c>
      <c r="T28" s="1">
        <v>123565</v>
      </c>
      <c r="U28" s="1">
        <v>101336</v>
      </c>
      <c r="V28" s="1"/>
    </row>
    <row r="29" spans="6:22" x14ac:dyDescent="0.3">
      <c r="P29" s="1" t="s">
        <v>24</v>
      </c>
      <c r="Q29" s="1">
        <v>1.387</v>
      </c>
      <c r="R29" s="1"/>
      <c r="S29" s="1"/>
      <c r="T29" s="1"/>
      <c r="U29" s="1"/>
      <c r="V2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Макрос1">
                <anchor moveWithCells="1" sizeWithCells="1">
                  <from>
                    <xdr:col>0</xdr:col>
                    <xdr:colOff>358140</xdr:colOff>
                    <xdr:row>15</xdr:row>
                    <xdr:rowOff>7620</xdr:rowOff>
                  </from>
                  <to>
                    <xdr:col>3</xdr:col>
                    <xdr:colOff>53340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47170-272E-4EAD-A7B9-E85AF819E77D}">
  <sheetPr codeName="Лист2"/>
  <dimension ref="B1:Q18"/>
  <sheetViews>
    <sheetView zoomScale="80" zoomScaleNormal="80" workbookViewId="0">
      <selection activeCell="I5" sqref="I5"/>
    </sheetView>
  </sheetViews>
  <sheetFormatPr defaultRowHeight="14.4" x14ac:dyDescent="0.3"/>
  <cols>
    <col min="7" max="7" width="11.109375" bestFit="1" customWidth="1"/>
  </cols>
  <sheetData>
    <row r="1" spans="2:17" x14ac:dyDescent="0.3">
      <c r="F1" s="1" t="s">
        <v>8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1" t="s">
        <v>9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1" t="s">
        <v>0</v>
      </c>
      <c r="C3" s="1">
        <v>0.1</v>
      </c>
      <c r="F3" s="1" t="s">
        <v>3</v>
      </c>
      <c r="G3" s="4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4">
        <v>0.04</v>
      </c>
    </row>
    <row r="4" spans="2:17" x14ac:dyDescent="0.3">
      <c r="B4" s="1" t="s">
        <v>1</v>
      </c>
      <c r="C4" s="1">
        <f>C3/10</f>
        <v>0.01</v>
      </c>
      <c r="F4" s="1" t="s">
        <v>10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3">
      <c r="F5" s="1" t="s">
        <v>11</v>
      </c>
      <c r="G5" s="2">
        <v>41.933062687226695</v>
      </c>
      <c r="H5" s="2">
        <v>46.551386940871602</v>
      </c>
      <c r="I5" s="2">
        <v>51.991442662699896</v>
      </c>
      <c r="J5" s="2">
        <v>58.486335177502596</v>
      </c>
      <c r="K5" s="2">
        <v>66.342073094497692</v>
      </c>
      <c r="L5" s="2">
        <v>75.99585506347006</v>
      </c>
      <c r="M5" s="2">
        <v>88.101272594774684</v>
      </c>
      <c r="N5" s="2">
        <v>103.70025337999361</v>
      </c>
      <c r="O5" s="2">
        <v>124.62615939424906</v>
      </c>
      <c r="P5" s="2">
        <v>154.71264266962615</v>
      </c>
      <c r="Q5" s="2">
        <v>205.86865898669578</v>
      </c>
    </row>
    <row r="6" spans="2:17" x14ac:dyDescent="0.3">
      <c r="B6" s="1" t="s">
        <v>2</v>
      </c>
      <c r="C6" s="1">
        <v>1.4</v>
      </c>
      <c r="F6" s="1" t="s">
        <v>12</v>
      </c>
      <c r="G6" s="2">
        <v>133575.51445170629</v>
      </c>
      <c r="H6" s="2">
        <v>133227.85858173415</v>
      </c>
      <c r="I6" s="2">
        <v>132771.60956635035</v>
      </c>
      <c r="J6" s="2">
        <v>132160.88642409007</v>
      </c>
      <c r="K6" s="2">
        <v>131326.83841130373</v>
      </c>
      <c r="L6" s="2">
        <v>130160.38230722559</v>
      </c>
      <c r="M6" s="2">
        <v>128480.77690377602</v>
      </c>
      <c r="N6" s="2">
        <v>125969.8958123503</v>
      </c>
      <c r="O6" s="2">
        <v>122015.72675961358</v>
      </c>
      <c r="P6" s="2">
        <v>115248.62599135554</v>
      </c>
      <c r="Q6" s="2">
        <v>101325</v>
      </c>
    </row>
    <row r="7" spans="2:17" x14ac:dyDescent="0.3">
      <c r="B7" s="1" t="s">
        <v>3</v>
      </c>
      <c r="C7" s="1">
        <v>286.97199999999998</v>
      </c>
      <c r="F7" s="1" t="s">
        <v>13</v>
      </c>
      <c r="G7" s="5">
        <v>1.6202233645323596</v>
      </c>
      <c r="H7" s="5">
        <v>1.6171515456613619</v>
      </c>
      <c r="I7" s="5">
        <v>1.6131130011710286</v>
      </c>
      <c r="J7" s="5">
        <v>1.6076952220733001</v>
      </c>
      <c r="K7" s="5">
        <v>1.600276374519144</v>
      </c>
      <c r="L7" s="5">
        <v>1.5898655462167672</v>
      </c>
      <c r="M7" s="5">
        <v>1.5748084631441936</v>
      </c>
      <c r="N7" s="5">
        <v>1.5521638367984489</v>
      </c>
      <c r="O7" s="5">
        <v>1.5161934251354421</v>
      </c>
      <c r="P7" s="5">
        <v>1.4537933179322224</v>
      </c>
      <c r="Q7" s="5">
        <v>1.3221024765583353</v>
      </c>
    </row>
    <row r="8" spans="2:17" x14ac:dyDescent="0.3">
      <c r="B8" s="1" t="s">
        <v>4</v>
      </c>
      <c r="C8" s="1">
        <f>C7*(C6/(C6-1))</f>
        <v>1004.402</v>
      </c>
      <c r="F8" s="8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17" x14ac:dyDescent="0.3">
      <c r="F9" s="1" t="s">
        <v>14</v>
      </c>
      <c r="G9" s="5">
        <f>G4*G7*G12</f>
        <v>1.3660305191040134</v>
      </c>
      <c r="H9" s="5">
        <f>H4*H7*H12</f>
        <v>1.3660276794910102</v>
      </c>
      <c r="I9" s="5">
        <f t="shared" ref="I9:Q9" si="3">I4*I7*I12</f>
        <v>1.3658771086896666</v>
      </c>
      <c r="J9" s="5">
        <f t="shared" si="3"/>
        <v>1.3659242672573835</v>
      </c>
      <c r="K9" s="5">
        <f t="shared" si="3"/>
        <v>1.3661394697588616</v>
      </c>
      <c r="L9" s="5">
        <f t="shared" si="3"/>
        <v>1.366482223242276</v>
      </c>
      <c r="M9" s="5">
        <f t="shared" si="3"/>
        <v>1.3669009817615767</v>
      </c>
      <c r="N9" s="5">
        <f t="shared" si="3"/>
        <v>1.3673348461226706</v>
      </c>
      <c r="O9" s="5">
        <f t="shared" si="3"/>
        <v>1.3677186458786699</v>
      </c>
      <c r="P9" s="5">
        <f t="shared" si="3"/>
        <v>1.3679932839141384</v>
      </c>
      <c r="Q9" s="5">
        <f t="shared" si="3"/>
        <v>1.368123315349423</v>
      </c>
    </row>
    <row r="10" spans="2:17" x14ac:dyDescent="0.3">
      <c r="B10" s="10" t="s">
        <v>5</v>
      </c>
      <c r="C10" s="10">
        <v>135000</v>
      </c>
      <c r="F10" s="1" t="s">
        <v>15</v>
      </c>
      <c r="G10" s="7">
        <f>(G12)*(G9-H9)</f>
        <v>1.1907341824808284E-4</v>
      </c>
      <c r="H10" s="7">
        <f>(H12)*(H9-I9)</f>
        <v>7.00926506492158E-3</v>
      </c>
      <c r="I10" s="7">
        <f t="shared" ref="I10:P10" si="4">(I12)*(I9-J9)</f>
        <v>-2.4518425401874764E-3</v>
      </c>
      <c r="J10" s="7">
        <f t="shared" si="4"/>
        <v>-1.2586428610306932E-2</v>
      </c>
      <c r="K10" s="7">
        <f t="shared" si="4"/>
        <v>-2.273903875499254E-2</v>
      </c>
      <c r="L10" s="7">
        <f t="shared" si="4"/>
        <v>-3.1824007666735953E-2</v>
      </c>
      <c r="M10" s="7">
        <f t="shared" si="4"/>
        <v>-3.8224108576376328E-2</v>
      </c>
      <c r="N10" s="7">
        <f t="shared" si="4"/>
        <v>-3.980021841213343E-2</v>
      </c>
      <c r="O10" s="7">
        <f t="shared" si="4"/>
        <v>-3.4227130838203675E-2</v>
      </c>
      <c r="P10" s="7">
        <f t="shared" si="4"/>
        <v>-2.0117519340003359E-2</v>
      </c>
      <c r="Q10" s="11">
        <v>0</v>
      </c>
    </row>
    <row r="11" spans="2:17" x14ac:dyDescent="0.3">
      <c r="B11" s="10" t="s">
        <v>6</v>
      </c>
      <c r="C11" s="10">
        <v>288.16000000000003</v>
      </c>
    </row>
    <row r="12" spans="2:17" x14ac:dyDescent="0.3">
      <c r="B12" s="10" t="s">
        <v>12</v>
      </c>
      <c r="C12" s="10">
        <v>101325</v>
      </c>
      <c r="F12" s="1" t="s">
        <v>11</v>
      </c>
      <c r="G12" s="12">
        <f>(H4*H5*H7)/(G4*G7)</f>
        <v>41.932974005512754</v>
      </c>
      <c r="H12" s="3">
        <f>((G6-H6)/H7+G5*H5)^0.5</f>
        <v>46.551290172957685</v>
      </c>
      <c r="I12" s="3">
        <f t="shared" ref="I12:Q12" si="5">((H6-I6)/I7+H5*I5)^0.5</f>
        <v>51.991454764022336</v>
      </c>
      <c r="J12" s="3">
        <f t="shared" si="5"/>
        <v>58.486441950524409</v>
      </c>
      <c r="K12" s="3">
        <f t="shared" si="5"/>
        <v>66.342254288633356</v>
      </c>
      <c r="L12" s="3">
        <f t="shared" si="5"/>
        <v>75.9960841390822</v>
      </c>
      <c r="M12" s="3">
        <f t="shared" si="5"/>
        <v>88.101517441991973</v>
      </c>
      <c r="N12" s="3">
        <f t="shared" si="5"/>
        <v>103.70047867412852</v>
      </c>
      <c r="O12" s="3">
        <f t="shared" si="5"/>
        <v>124.62633145408277</v>
      </c>
      <c r="P12" s="3">
        <f t="shared" si="5"/>
        <v>154.71273770052707</v>
      </c>
      <c r="Q12" s="3">
        <f t="shared" si="5"/>
        <v>205.86867532760903</v>
      </c>
    </row>
    <row r="13" spans="2:17" x14ac:dyDescent="0.3">
      <c r="F13" s="1" t="s">
        <v>12</v>
      </c>
      <c r="G13" s="13">
        <f>C10-(G7*G12^2)/2</f>
        <v>133575.5204305253</v>
      </c>
      <c r="H13" s="2">
        <f>H6+H10</f>
        <v>133227.86559099922</v>
      </c>
      <c r="I13" s="2">
        <f t="shared" ref="I13:P13" si="6">I6+I10</f>
        <v>132771.60711450782</v>
      </c>
      <c r="J13" s="2">
        <f t="shared" si="6"/>
        <v>132160.87383766146</v>
      </c>
      <c r="K13" s="2">
        <f t="shared" si="6"/>
        <v>131326.81567226499</v>
      </c>
      <c r="L13" s="2">
        <f t="shared" si="6"/>
        <v>130160.35048321792</v>
      </c>
      <c r="M13" s="2">
        <f t="shared" si="6"/>
        <v>128480.73867966744</v>
      </c>
      <c r="N13" s="2">
        <f t="shared" si="6"/>
        <v>125969.85601213189</v>
      </c>
      <c r="O13" s="2">
        <f t="shared" si="6"/>
        <v>122015.69253248275</v>
      </c>
      <c r="P13" s="2">
        <f t="shared" si="6"/>
        <v>115248.6058738362</v>
      </c>
      <c r="Q13" s="13">
        <f>Q6+Q10</f>
        <v>101325</v>
      </c>
    </row>
    <row r="14" spans="2:17" x14ac:dyDescent="0.3">
      <c r="B14" s="1" t="s">
        <v>7</v>
      </c>
      <c r="C14" s="1">
        <v>2100</v>
      </c>
      <c r="D14">
        <v>2100</v>
      </c>
      <c r="F14" s="1" t="s">
        <v>13</v>
      </c>
      <c r="G14" s="5">
        <f>G13/($C$7*G16)</f>
        <v>1.6202234161726006</v>
      </c>
      <c r="H14" s="5">
        <f t="shared" ref="H14:Q14" si="7">H13/($C$7*H16)</f>
        <v>1.6171516054775055</v>
      </c>
      <c r="I14" s="5">
        <f t="shared" si="7"/>
        <v>1.6131129749053561</v>
      </c>
      <c r="J14" s="5">
        <f t="shared" si="7"/>
        <v>1.6076951038575533</v>
      </c>
      <c r="K14" s="5">
        <f t="shared" si="7"/>
        <v>1.6002761644071399</v>
      </c>
      <c r="L14" s="5">
        <f t="shared" si="7"/>
        <v>1.589865254089625</v>
      </c>
      <c r="M14" s="5">
        <f t="shared" si="7"/>
        <v>1.5748081135926431</v>
      </c>
      <c r="N14" s="5">
        <f t="shared" si="7"/>
        <v>1.5521634740564856</v>
      </c>
      <c r="O14" s="5">
        <f t="shared" si="7"/>
        <v>1.5161931152506469</v>
      </c>
      <c r="P14" s="5">
        <f t="shared" si="7"/>
        <v>1.4537931411973446</v>
      </c>
      <c r="Q14" s="5">
        <f t="shared" si="7"/>
        <v>1.3221024931393905</v>
      </c>
    </row>
    <row r="16" spans="2:17" x14ac:dyDescent="0.3">
      <c r="F16" t="s">
        <v>16</v>
      </c>
      <c r="G16">
        <f>$C$11-(G12^2)/(2*$C$8)</f>
        <v>287.28466606550614</v>
      </c>
      <c r="H16">
        <f t="shared" ref="H16:Q16" si="8">$C$11-(H12^2)/(2*$C$8)</f>
        <v>287.0812374045617</v>
      </c>
      <c r="I16">
        <f t="shared" si="8"/>
        <v>286.81436778875423</v>
      </c>
      <c r="J16">
        <f t="shared" si="8"/>
        <v>286.45716393832748</v>
      </c>
      <c r="K16">
        <f t="shared" si="8"/>
        <v>285.96899744121492</v>
      </c>
      <c r="L16">
        <f t="shared" si="8"/>
        <v>285.28495355222589</v>
      </c>
      <c r="M16">
        <f t="shared" si="8"/>
        <v>284.29607033061387</v>
      </c>
      <c r="N16">
        <f t="shared" si="8"/>
        <v>282.80667071688259</v>
      </c>
      <c r="O16">
        <f t="shared" si="8"/>
        <v>280.42817425109524</v>
      </c>
      <c r="P16">
        <f t="shared" si="8"/>
        <v>276.24443670622321</v>
      </c>
      <c r="Q16">
        <f t="shared" si="8"/>
        <v>267.06191801631996</v>
      </c>
    </row>
    <row r="17" spans="6:17" x14ac:dyDescent="0.3">
      <c r="F17" t="s">
        <v>17</v>
      </c>
      <c r="G17">
        <f>SQRT($C$6*$C$7*G16)</f>
        <v>339.73477488507206</v>
      </c>
      <c r="H17">
        <f t="shared" ref="H17:Q17" si="9">SQRT($C$6*$C$7*H16)</f>
        <v>339.61446907434117</v>
      </c>
      <c r="I17">
        <f t="shared" si="9"/>
        <v>339.4565802194798</v>
      </c>
      <c r="J17">
        <f t="shared" si="9"/>
        <v>339.24513165201586</v>
      </c>
      <c r="K17">
        <f t="shared" si="9"/>
        <v>338.95594579116096</v>
      </c>
      <c r="L17">
        <f t="shared" si="9"/>
        <v>338.55030817753675</v>
      </c>
      <c r="M17">
        <f t="shared" si="9"/>
        <v>337.96304036519092</v>
      </c>
      <c r="N17">
        <f t="shared" si="9"/>
        <v>337.07660000740384</v>
      </c>
      <c r="O17">
        <f t="shared" si="9"/>
        <v>335.65614493058132</v>
      </c>
      <c r="P17">
        <f t="shared" si="9"/>
        <v>333.14289109425943</v>
      </c>
      <c r="Q17">
        <f t="shared" si="9"/>
        <v>327.55916997051253</v>
      </c>
    </row>
    <row r="18" spans="6:17" x14ac:dyDescent="0.3">
      <c r="F18" t="s">
        <v>18</v>
      </c>
      <c r="G18">
        <f>G12/G17</f>
        <v>0.12342855988086043</v>
      </c>
      <c r="H18">
        <f t="shared" ref="H18:Q18" si="10">H12/H17</f>
        <v>0.1370709861091568</v>
      </c>
      <c r="I18">
        <f t="shared" si="10"/>
        <v>0.15316083939338171</v>
      </c>
      <c r="J18">
        <f t="shared" si="10"/>
        <v>0.17240171337378976</v>
      </c>
      <c r="K18">
        <f t="shared" si="10"/>
        <v>0.19572530033005658</v>
      </c>
      <c r="L18">
        <f t="shared" si="10"/>
        <v>0.22447501096123545</v>
      </c>
      <c r="M18">
        <f t="shared" si="10"/>
        <v>0.26068388231681366</v>
      </c>
      <c r="N18">
        <f t="shared" si="10"/>
        <v>0.30764662593562042</v>
      </c>
      <c r="O18">
        <f t="shared" si="10"/>
        <v>0.37129167255334278</v>
      </c>
      <c r="P18">
        <f t="shared" si="10"/>
        <v>0.46440353925112771</v>
      </c>
      <c r="Q18">
        <f t="shared" si="10"/>
        <v>0.62849309132802389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Макрос1">
                <anchor moveWithCells="1" sizeWithCells="1">
                  <from>
                    <xdr:col>0</xdr:col>
                    <xdr:colOff>274320</xdr:colOff>
                    <xdr:row>16</xdr:row>
                    <xdr:rowOff>114300</xdr:rowOff>
                  </from>
                  <to>
                    <xdr:col>2</xdr:col>
                    <xdr:colOff>579120</xdr:colOff>
                    <xdr:row>19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Зайцев</dc:creator>
  <cp:lastModifiedBy>Зайцев</cp:lastModifiedBy>
  <dcterms:created xsi:type="dcterms:W3CDTF">2021-05-30T07:31:27Z</dcterms:created>
  <dcterms:modified xsi:type="dcterms:W3CDTF">2021-05-30T16:35:48Z</dcterms:modified>
</cp:coreProperties>
</file>